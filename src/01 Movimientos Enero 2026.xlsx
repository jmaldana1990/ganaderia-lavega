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m\Google Drive\Inversiones Empresariales A&amp;C\Finca La Vega\01 Ganaderia\Reportes La Vega\"/>
    </mc:Choice>
  </mc:AlternateContent>
  <xr:revisionPtr revIDLastSave="0" documentId="8_{F86FC2EB-70A8-4A9E-8ACF-A0E7231BBE11}" xr6:coauthVersionLast="47" xr6:coauthVersionMax="47" xr10:uidLastSave="{00000000-0000-0000-0000-000000000000}"/>
  <bookViews>
    <workbookView xWindow="-108" yWindow="-108" windowWidth="23256" windowHeight="12456" activeTab="1" xr2:uid="{D29D2DFF-D441-41F9-A799-A19CD7E0FC11}"/>
  </bookViews>
  <sheets>
    <sheet name="ENERO" sheetId="1" r:id="rId1"/>
    <sheet name="NACIMIENTOS" sheetId="2" r:id="rId2"/>
    <sheet name="DESTETE" sheetId="3" r:id="rId3"/>
    <sheet name="VENTA" sheetId="4" r:id="rId4"/>
    <sheet name="MUERTE" sheetId="5" r:id="rId5"/>
    <sheet name="PESAJE" sheetId="6" r:id="rId6"/>
    <sheet name="PROYECCION" sheetId="7" r:id="rId7"/>
    <sheet name="SERVICIO" sheetId="8" r:id="rId8"/>
    <sheet name="ESTADO" sheetId="9" r:id="rId9"/>
    <sheet name="TRASLADOS" sheetId="10" r:id="rId10"/>
    <sheet name="SUBASTA" sheetId="11" r:id="rId11"/>
  </sheets>
  <externalReferences>
    <externalReference r:id="rId12"/>
    <externalReference r:id="rId13"/>
  </externalReferences>
  <calcPr calcId="0"/>
</workbook>
</file>

<file path=xl/calcChain.xml><?xml version="1.0" encoding="utf-8"?>
<calcChain xmlns="http://schemas.openxmlformats.org/spreadsheetml/2006/main">
  <c r="D7" i="1" l="1"/>
  <c r="M7" i="1"/>
  <c r="M8" i="1"/>
  <c r="M9" i="1"/>
  <c r="D10" i="1"/>
  <c r="M10" i="1"/>
  <c r="M11" i="1"/>
  <c r="M12" i="1"/>
  <c r="M13" i="1"/>
  <c r="M14" i="1"/>
  <c r="M15" i="1"/>
  <c r="M16" i="1"/>
  <c r="M17" i="1"/>
  <c r="M18" i="1"/>
  <c r="B19" i="1"/>
  <c r="C19" i="1"/>
  <c r="D19" i="1"/>
  <c r="E19" i="1"/>
  <c r="F19" i="1"/>
  <c r="G19" i="1"/>
  <c r="H19" i="1"/>
  <c r="I19" i="1"/>
  <c r="J19" i="1"/>
  <c r="K19" i="1"/>
  <c r="L19" i="1"/>
  <c r="M19" i="1"/>
  <c r="B27" i="1"/>
  <c r="M27" i="1"/>
  <c r="B28" i="1"/>
  <c r="M28" i="1"/>
  <c r="B29" i="1"/>
  <c r="M29" i="1"/>
  <c r="B30" i="1"/>
  <c r="M30" i="1"/>
  <c r="B31" i="1"/>
  <c r="M31" i="1"/>
  <c r="B32" i="1"/>
  <c r="M32" i="1"/>
  <c r="B33" i="1"/>
  <c r="M33" i="1"/>
  <c r="B34" i="1"/>
  <c r="M34" i="1"/>
  <c r="B35" i="1"/>
  <c r="M35" i="1"/>
  <c r="B36" i="1"/>
  <c r="M36" i="1"/>
  <c r="B37" i="1"/>
  <c r="M37" i="1"/>
  <c r="B38" i="1"/>
  <c r="C38" i="1"/>
  <c r="D38" i="1"/>
  <c r="E38" i="1"/>
  <c r="F38" i="1"/>
  <c r="G38" i="1"/>
  <c r="H38" i="1"/>
  <c r="I38" i="1"/>
  <c r="J38" i="1"/>
  <c r="K38" i="1"/>
  <c r="L38" i="1"/>
  <c r="M38" i="1"/>
  <c r="D45" i="1"/>
  <c r="M45" i="1"/>
  <c r="M46" i="1"/>
  <c r="M47" i="1"/>
  <c r="D48" i="1"/>
  <c r="M48" i="1"/>
  <c r="M49" i="1"/>
  <c r="M50" i="1"/>
  <c r="M51" i="1"/>
  <c r="M52" i="1"/>
  <c r="M53" i="1"/>
  <c r="M54" i="1"/>
  <c r="M55" i="1"/>
  <c r="M56" i="1"/>
  <c r="B57" i="1"/>
  <c r="C57" i="1"/>
  <c r="D57" i="1"/>
  <c r="E57" i="1"/>
  <c r="F57" i="1"/>
  <c r="G57" i="1"/>
  <c r="H57" i="1"/>
  <c r="I57" i="1"/>
  <c r="J57" i="1"/>
  <c r="K57" i="1"/>
  <c r="L57" i="1"/>
  <c r="M57" i="1"/>
  <c r="B65" i="1"/>
  <c r="M65" i="1"/>
  <c r="B66" i="1"/>
  <c r="M66" i="1"/>
  <c r="B67" i="1"/>
  <c r="M67" i="1"/>
  <c r="B68" i="1"/>
  <c r="M68" i="1"/>
  <c r="M69" i="1"/>
  <c r="M70" i="1"/>
  <c r="B71" i="1"/>
  <c r="M71" i="1"/>
  <c r="B72" i="1"/>
  <c r="M72" i="1"/>
  <c r="B73" i="1"/>
  <c r="M73" i="1"/>
  <c r="B74" i="1"/>
  <c r="M74" i="1"/>
  <c r="B75" i="1"/>
  <c r="M75" i="1"/>
  <c r="B76" i="1"/>
  <c r="C76" i="1"/>
  <c r="D76" i="1"/>
  <c r="E76" i="1"/>
  <c r="F76" i="1"/>
  <c r="G76" i="1"/>
  <c r="H76" i="1"/>
  <c r="I76" i="1"/>
  <c r="J76" i="1"/>
  <c r="K76" i="1"/>
  <c r="L76" i="1"/>
  <c r="M76" i="1"/>
  <c r="B5" i="9"/>
  <c r="B10" i="9"/>
  <c r="B17" i="9"/>
  <c r="C17" i="9"/>
  <c r="D17" i="9"/>
  <c r="B24" i="9"/>
  <c r="B28" i="9"/>
  <c r="B41" i="9"/>
  <c r="B46" i="9"/>
  <c r="B53" i="9"/>
  <c r="D53" i="9"/>
  <c r="B60" i="9"/>
  <c r="B64" i="9"/>
  <c r="B68" i="9"/>
  <c r="C4" i="11"/>
  <c r="H4" i="11"/>
  <c r="B5" i="11"/>
  <c r="G5" i="11"/>
  <c r="C6" i="11"/>
  <c r="H6" i="11"/>
  <c r="B7" i="11"/>
  <c r="G7" i="11"/>
  <c r="B8" i="11"/>
  <c r="C8" i="11"/>
  <c r="D8" i="11"/>
  <c r="G8" i="11"/>
  <c r="H8" i="11"/>
  <c r="I8" i="11"/>
  <c r="D9" i="11"/>
  <c r="I9" i="11"/>
  <c r="C10" i="11"/>
  <c r="D10" i="11"/>
  <c r="H10" i="11"/>
  <c r="I10" i="11"/>
  <c r="C11" i="11"/>
  <c r="D11" i="11"/>
  <c r="H11" i="11"/>
  <c r="I11" i="11"/>
  <c r="B12" i="11"/>
  <c r="G12" i="11"/>
  <c r="B14" i="11"/>
  <c r="G14" i="11"/>
  <c r="C15" i="11"/>
  <c r="H15" i="11"/>
  <c r="B16" i="11"/>
  <c r="G16" i="11"/>
  <c r="B17" i="11"/>
  <c r="G17" i="11"/>
  <c r="B18" i="11"/>
  <c r="G18" i="11"/>
  <c r="B20" i="11"/>
  <c r="B21" i="11"/>
  <c r="B22" i="11"/>
  <c r="B23" i="11"/>
  <c r="B24" i="11"/>
  <c r="B25" i="11"/>
  <c r="D22" i="4"/>
</calcChain>
</file>

<file path=xl/sharedStrings.xml><?xml version="1.0" encoding="utf-8"?>
<sst xmlns="http://schemas.openxmlformats.org/spreadsheetml/2006/main" count="814" uniqueCount="333">
  <si>
    <t xml:space="preserve">INVENTARIO DE GANADO </t>
  </si>
  <si>
    <t>HACIENDA LA VEGA</t>
  </si>
  <si>
    <t>MOVIMIENTOS DEL MES DE ENERO DE 2026</t>
  </si>
  <si>
    <t>CATEGORIA</t>
  </si>
  <si>
    <t>SALDO ANTERIOR</t>
  </si>
  <si>
    <t>ENTRADAS</t>
  </si>
  <si>
    <t>SALIDAS</t>
  </si>
  <si>
    <t>SALDO FINAL</t>
  </si>
  <si>
    <t>NACIMIENTO</t>
  </si>
  <si>
    <t>TRANSFERENCIA</t>
  </si>
  <si>
    <t>TRASLADOS</t>
  </si>
  <si>
    <t>C0MPRAS</t>
  </si>
  <si>
    <t>AJUSTES</t>
  </si>
  <si>
    <t>VENTAS</t>
  </si>
  <si>
    <t>MUERTES</t>
  </si>
  <si>
    <t>VP</t>
  </si>
  <si>
    <t>CM</t>
  </si>
  <si>
    <t>CH</t>
  </si>
  <si>
    <t>VH</t>
  </si>
  <si>
    <t>NAS</t>
  </si>
  <si>
    <t>T</t>
  </si>
  <si>
    <t>HD</t>
  </si>
  <si>
    <t>HL</t>
  </si>
  <si>
    <t>MD</t>
  </si>
  <si>
    <t>ML</t>
  </si>
  <si>
    <t>MC</t>
  </si>
  <si>
    <t>BUEY</t>
  </si>
  <si>
    <t>TOTAL</t>
  </si>
  <si>
    <t>INVENTARIO DE EQUINOS</t>
  </si>
  <si>
    <t>YP</t>
  </si>
  <si>
    <t>POM</t>
  </si>
  <si>
    <t>PAM</t>
  </si>
  <si>
    <t>MLM</t>
  </si>
  <si>
    <t>YH</t>
  </si>
  <si>
    <t xml:space="preserve">C </t>
  </si>
  <si>
    <t>M</t>
  </si>
  <si>
    <t>POD</t>
  </si>
  <si>
    <t>PAD</t>
  </si>
  <si>
    <t>MLD</t>
  </si>
  <si>
    <t>AS</t>
  </si>
  <si>
    <t>HACIENDA BARILOCHE</t>
  </si>
  <si>
    <t>Software GANADERO SG</t>
  </si>
  <si>
    <t>[F1-001] HACIENDA LA VEGA. Nacimientos de 01.01.26 a 31.01.26</t>
  </si>
  <si>
    <t>Número cría</t>
  </si>
  <si>
    <t>Sx</t>
  </si>
  <si>
    <t>Fecha Nacimiento</t>
  </si>
  <si>
    <t>Madre genética</t>
  </si>
  <si>
    <t>Padre</t>
  </si>
  <si>
    <t>Peso Ncto Kg.</t>
  </si>
  <si>
    <t>Tipo</t>
  </si>
  <si>
    <t xml:space="preserve">329         </t>
  </si>
  <si>
    <t xml:space="preserve">082-8       </t>
  </si>
  <si>
    <t xml:space="preserve">477-375     </t>
  </si>
  <si>
    <t>MN</t>
  </si>
  <si>
    <t xml:space="preserve">331         </t>
  </si>
  <si>
    <t xml:space="preserve">110-9       </t>
  </si>
  <si>
    <t xml:space="preserve">333         </t>
  </si>
  <si>
    <t xml:space="preserve">064-8       </t>
  </si>
  <si>
    <t xml:space="preserve">335         </t>
  </si>
  <si>
    <t xml:space="preserve">114         </t>
  </si>
  <si>
    <t xml:space="preserve">854-476     </t>
  </si>
  <si>
    <t xml:space="preserve">328         </t>
  </si>
  <si>
    <t>H</t>
  </si>
  <si>
    <t xml:space="preserve">088-8       </t>
  </si>
  <si>
    <t xml:space="preserve">330         </t>
  </si>
  <si>
    <t xml:space="preserve">074-8       </t>
  </si>
  <si>
    <t>TOTAL:</t>
  </si>
  <si>
    <t>CM:</t>
  </si>
  <si>
    <t>CH:</t>
  </si>
  <si>
    <t>[F1-005] HACIENDA BARILOCHE. Nacimientos de 01.01.26 a 31.01.26</t>
  </si>
  <si>
    <t xml:space="preserve">10          </t>
  </si>
  <si>
    <t xml:space="preserve">4-3-1       </t>
  </si>
  <si>
    <t xml:space="preserve">CEBU        </t>
  </si>
  <si>
    <t xml:space="preserve">332         </t>
  </si>
  <si>
    <t xml:space="preserve">9936        </t>
  </si>
  <si>
    <t xml:space="preserve">509-0       </t>
  </si>
  <si>
    <t>[F1-001] HACIENDA LA VEGA.  Destetados en : Enero. Machos y hembras.</t>
  </si>
  <si>
    <t>CODANI</t>
  </si>
  <si>
    <t>SEXO</t>
  </si>
  <si>
    <t>FEC     NACE</t>
  </si>
  <si>
    <t>DESTE  FECHA</t>
  </si>
  <si>
    <t>DIAS</t>
  </si>
  <si>
    <t>MADRE</t>
  </si>
  <si>
    <t>PADRE</t>
  </si>
  <si>
    <t>NCTO</t>
  </si>
  <si>
    <t>PESO</t>
  </si>
  <si>
    <t>AJUSTE</t>
  </si>
  <si>
    <t>PRE DEST</t>
  </si>
  <si>
    <t xml:space="preserve">265         </t>
  </si>
  <si>
    <t xml:space="preserve">080-8       </t>
  </si>
  <si>
    <t xml:space="preserve">267         </t>
  </si>
  <si>
    <t xml:space="preserve">501         </t>
  </si>
  <si>
    <t xml:space="preserve">269         </t>
  </si>
  <si>
    <t xml:space="preserve">20          </t>
  </si>
  <si>
    <t xml:space="preserve">271         </t>
  </si>
  <si>
    <t xml:space="preserve">16          </t>
  </si>
  <si>
    <t xml:space="preserve">273         </t>
  </si>
  <si>
    <t xml:space="preserve">91023       </t>
  </si>
  <si>
    <t xml:space="preserve">275         </t>
  </si>
  <si>
    <t xml:space="preserve">0210        </t>
  </si>
  <si>
    <t xml:space="preserve">546-0       </t>
  </si>
  <si>
    <t xml:space="preserve">277         </t>
  </si>
  <si>
    <t xml:space="preserve">1147        </t>
  </si>
  <si>
    <t xml:space="preserve">286         </t>
  </si>
  <si>
    <t xml:space="preserve">91016       </t>
  </si>
  <si>
    <t xml:space="preserve">595-1       </t>
  </si>
  <si>
    <t xml:space="preserve">290         </t>
  </si>
  <si>
    <t xml:space="preserve">086-8       </t>
  </si>
  <si>
    <t>[F1-005] HACIENDA BARILOCHE.  Destetados en : Enero. Machos y hembras.</t>
  </si>
  <si>
    <t xml:space="preserve">281         </t>
  </si>
  <si>
    <t xml:space="preserve">9812        </t>
  </si>
  <si>
    <t xml:space="preserve">283         </t>
  </si>
  <si>
    <t xml:space="preserve">91024       </t>
  </si>
  <si>
    <t xml:space="preserve">285         </t>
  </si>
  <si>
    <t xml:space="preserve">8-4         </t>
  </si>
  <si>
    <t xml:space="preserve">284         </t>
  </si>
  <si>
    <t xml:space="preserve">149         </t>
  </si>
  <si>
    <t xml:space="preserve">288         </t>
  </si>
  <si>
    <t xml:space="preserve">91013       </t>
  </si>
  <si>
    <t>[F1-001] HACIENDA LA VEGA.  Ventas en general. De 01.01.26 a 31.01.26</t>
  </si>
  <si>
    <t>Número animal</t>
  </si>
  <si>
    <t>Sexo</t>
  </si>
  <si>
    <t>Edad Años</t>
  </si>
  <si>
    <t>Valor Venta $</t>
  </si>
  <si>
    <t>Peso Kg.</t>
  </si>
  <si>
    <t>Estado</t>
  </si>
  <si>
    <t>Fecha Venta</t>
  </si>
  <si>
    <t xml:space="preserve">004-00      </t>
  </si>
  <si>
    <t xml:space="preserve">Nov. vientre        </t>
  </si>
  <si>
    <t>[F1-005] HACIENDA BARILOCHE.  Ventas en general. De 01.01.26 a 31.01.26</t>
  </si>
  <si>
    <t xml:space="preserve">Hemb. levante       </t>
  </si>
  <si>
    <t xml:space="preserve">270         </t>
  </si>
  <si>
    <t xml:space="preserve">252         </t>
  </si>
  <si>
    <t xml:space="preserve">250         </t>
  </si>
  <si>
    <t xml:space="preserve">240         </t>
  </si>
  <si>
    <t xml:space="preserve">234         </t>
  </si>
  <si>
    <t xml:space="preserve">222         </t>
  </si>
  <si>
    <t xml:space="preserve">218         </t>
  </si>
  <si>
    <t>[F1-001] HACIENDA LA VEGA.  Muerte. De 01.01.26 a 31.01.26</t>
  </si>
  <si>
    <t>Fecha muerte</t>
  </si>
  <si>
    <t>Código animal</t>
  </si>
  <si>
    <t>Estado productivo</t>
  </si>
  <si>
    <t>Edad años</t>
  </si>
  <si>
    <t>Ultimo peso Kg</t>
  </si>
  <si>
    <t>Causa</t>
  </si>
  <si>
    <t xml:space="preserve">293   </t>
  </si>
  <si>
    <t xml:space="preserve">Cría macho                    </t>
  </si>
  <si>
    <t xml:space="preserve">0a 5m 17d  </t>
  </si>
  <si>
    <t xml:space="preserve">MORDEDURA DE CULEBRA          </t>
  </si>
  <si>
    <t>[F1-005] HACIENDA BARILOCHE.  Resultado de pesaje de 05.01.26</t>
  </si>
  <si>
    <t>Número Animal</t>
  </si>
  <si>
    <t>Edad Meses</t>
  </si>
  <si>
    <t>Peso anterior Kg.</t>
  </si>
  <si>
    <t>Fecha Anterior</t>
  </si>
  <si>
    <t>Este pesaje Kg.</t>
  </si>
  <si>
    <t>Incremento peso Kg.</t>
  </si>
  <si>
    <t>Diferencia días</t>
  </si>
  <si>
    <t>Incremento grs. día</t>
  </si>
  <si>
    <t>Incremento grs./día/vida</t>
  </si>
  <si>
    <t>Est. prod</t>
  </si>
  <si>
    <t xml:space="preserve">0161        </t>
  </si>
  <si>
    <t>VS</t>
  </si>
  <si>
    <t xml:space="preserve">336         </t>
  </si>
  <si>
    <t xml:space="preserve">9809        </t>
  </si>
  <si>
    <t xml:space="preserve">58-1        </t>
  </si>
  <si>
    <t xml:space="preserve">322         </t>
  </si>
  <si>
    <t xml:space="preserve">1-1-3       </t>
  </si>
  <si>
    <t>NV</t>
  </si>
  <si>
    <t xml:space="preserve">1-12-1      </t>
  </si>
  <si>
    <t xml:space="preserve">1-2-3       </t>
  </si>
  <si>
    <t xml:space="preserve">1-2-3(28)   </t>
  </si>
  <si>
    <t xml:space="preserve">1-4-3(069)  </t>
  </si>
  <si>
    <t xml:space="preserve">1-5-2(019)  </t>
  </si>
  <si>
    <t xml:space="preserve">1-5-3(67)   </t>
  </si>
  <si>
    <t xml:space="preserve">1-9-3       </t>
  </si>
  <si>
    <t xml:space="preserve">1-9-3(38)   </t>
  </si>
  <si>
    <t xml:space="preserve">10-1-3      </t>
  </si>
  <si>
    <t xml:space="preserve">2-10-1      </t>
  </si>
  <si>
    <t xml:space="preserve">2-11-2      </t>
  </si>
  <si>
    <t xml:space="preserve">2-3-3       </t>
  </si>
  <si>
    <t xml:space="preserve">2-4-1       </t>
  </si>
  <si>
    <t xml:space="preserve">2-4-3       </t>
  </si>
  <si>
    <t xml:space="preserve">2-6-3       </t>
  </si>
  <si>
    <t xml:space="preserve">15-2-3      </t>
  </si>
  <si>
    <t xml:space="preserve">3-1-4       </t>
  </si>
  <si>
    <t xml:space="preserve">3-10-3(20N) </t>
  </si>
  <si>
    <t xml:space="preserve">3-11-3      </t>
  </si>
  <si>
    <t xml:space="preserve">3-12-2      </t>
  </si>
  <si>
    <t xml:space="preserve">3-12-3      </t>
  </si>
  <si>
    <t xml:space="preserve">3-3-3       </t>
  </si>
  <si>
    <t xml:space="preserve">3-4-1(132)  </t>
  </si>
  <si>
    <t xml:space="preserve">3-6-3       </t>
  </si>
  <si>
    <t xml:space="preserve">3-7-2       </t>
  </si>
  <si>
    <t xml:space="preserve">3-7-3       </t>
  </si>
  <si>
    <t xml:space="preserve">4-1-4       </t>
  </si>
  <si>
    <t xml:space="preserve">4-11-2      </t>
  </si>
  <si>
    <t xml:space="preserve">4-3-3       </t>
  </si>
  <si>
    <t xml:space="preserve">4-5-1       </t>
  </si>
  <si>
    <t xml:space="preserve">4-5-2       </t>
  </si>
  <si>
    <t xml:space="preserve">4-7-2       </t>
  </si>
  <si>
    <t xml:space="preserve">5-2-3       </t>
  </si>
  <si>
    <t xml:space="preserve">5-3-3(42)   </t>
  </si>
  <si>
    <t xml:space="preserve">6-1-2       </t>
  </si>
  <si>
    <t xml:space="preserve">6-1-4       </t>
  </si>
  <si>
    <t xml:space="preserve">6-7-2(11)   </t>
  </si>
  <si>
    <t xml:space="preserve">7-1-2       </t>
  </si>
  <si>
    <t xml:space="preserve">7-12-3      </t>
  </si>
  <si>
    <t xml:space="preserve">7-2-3       </t>
  </si>
  <si>
    <t xml:space="preserve">8-1-4       </t>
  </si>
  <si>
    <t xml:space="preserve">8-12-3(042) </t>
  </si>
  <si>
    <t xml:space="preserve">1-5-4       </t>
  </si>
  <si>
    <t xml:space="preserve">1-8-4(131)  </t>
  </si>
  <si>
    <t xml:space="preserve">2-2-4       </t>
  </si>
  <si>
    <t xml:space="preserve">2-4-4       </t>
  </si>
  <si>
    <t xml:space="preserve">2-6-4       </t>
  </si>
  <si>
    <t xml:space="preserve">232         </t>
  </si>
  <si>
    <t xml:space="preserve">236         </t>
  </si>
  <si>
    <t xml:space="preserve">248         </t>
  </si>
  <si>
    <t xml:space="preserve">256         </t>
  </si>
  <si>
    <t xml:space="preserve">7-6-4       </t>
  </si>
  <si>
    <t xml:space="preserve">09-4        </t>
  </si>
  <si>
    <t xml:space="preserve">185         </t>
  </si>
  <si>
    <t xml:space="preserve">187         </t>
  </si>
  <si>
    <t xml:space="preserve">189         </t>
  </si>
  <si>
    <t xml:space="preserve">193         </t>
  </si>
  <si>
    <t xml:space="preserve">199         </t>
  </si>
  <si>
    <t xml:space="preserve">201         </t>
  </si>
  <si>
    <t xml:space="preserve">209         </t>
  </si>
  <si>
    <t xml:space="preserve">211         </t>
  </si>
  <si>
    <t xml:space="preserve">215         </t>
  </si>
  <si>
    <t xml:space="preserve">217         </t>
  </si>
  <si>
    <t xml:space="preserve">243         </t>
  </si>
  <si>
    <t xml:space="preserve">245         </t>
  </si>
  <si>
    <t xml:space="preserve">247         </t>
  </si>
  <si>
    <t xml:space="preserve">251         </t>
  </si>
  <si>
    <t xml:space="preserve">263         </t>
  </si>
  <si>
    <t>[F1-001] HACIENDA LA VEGA.  Proyección de partos.</t>
  </si>
  <si>
    <t>Número Hembra</t>
  </si>
  <si>
    <t>Reprod.</t>
  </si>
  <si>
    <t>Ia / Mn</t>
  </si>
  <si>
    <t>Fecha parto</t>
  </si>
  <si>
    <t>Nro. Pto.</t>
  </si>
  <si>
    <t>I.E.P. Esperado</t>
  </si>
  <si>
    <t>Días Preñez</t>
  </si>
  <si>
    <t xml:space="preserve">0207        </t>
  </si>
  <si>
    <t xml:space="preserve">595-1          </t>
  </si>
  <si>
    <t xml:space="preserve">MN </t>
  </si>
  <si>
    <t xml:space="preserve">9849        </t>
  </si>
  <si>
    <t xml:space="preserve">509-0          </t>
  </si>
  <si>
    <t xml:space="preserve">9925        </t>
  </si>
  <si>
    <t xml:space="preserve">541-829     </t>
  </si>
  <si>
    <t xml:space="preserve">854-476        </t>
  </si>
  <si>
    <t xml:space="preserve">754         </t>
  </si>
  <si>
    <t xml:space="preserve">9817        </t>
  </si>
  <si>
    <t>[F1-001] HACIENDA LA VEGA.  Animales a destetar/secar después de 28.02.26</t>
  </si>
  <si>
    <t>A secar en</t>
  </si>
  <si>
    <t>Sexo Cría</t>
  </si>
  <si>
    <t>Días Lact.</t>
  </si>
  <si>
    <t xml:space="preserve">002-80      </t>
  </si>
  <si>
    <t xml:space="preserve">296         </t>
  </si>
  <si>
    <t xml:space="preserve">094-8       </t>
  </si>
  <si>
    <t xml:space="preserve">300         </t>
  </si>
  <si>
    <t xml:space="preserve">14          </t>
  </si>
  <si>
    <t xml:space="preserve">298         </t>
  </si>
  <si>
    <t xml:space="preserve">91108       </t>
  </si>
  <si>
    <t xml:space="preserve">292         </t>
  </si>
  <si>
    <t xml:space="preserve">91124       </t>
  </si>
  <si>
    <t xml:space="preserve">294         </t>
  </si>
  <si>
    <t xml:space="preserve">9927        </t>
  </si>
  <si>
    <t xml:space="preserve">287         </t>
  </si>
  <si>
    <t>Servicios realizados La Vega Enero.</t>
  </si>
  <si>
    <t>COD.ANI</t>
  </si>
  <si>
    <t>N.SERV</t>
  </si>
  <si>
    <t>FECHA</t>
  </si>
  <si>
    <t>TORO</t>
  </si>
  <si>
    <t>TIPO</t>
  </si>
  <si>
    <t xml:space="preserve">0157        </t>
  </si>
  <si>
    <t>Inventario de animales La Vega Enero.</t>
  </si>
  <si>
    <t>Sexo / Categoría</t>
  </si>
  <si>
    <t>Total animales</t>
  </si>
  <si>
    <t>Porcentaje</t>
  </si>
  <si>
    <t>U.G.G.</t>
  </si>
  <si>
    <t xml:space="preserve">MACHOS                   </t>
  </si>
  <si>
    <t xml:space="preserve">Cría macho               </t>
  </si>
  <si>
    <t xml:space="preserve">Mac. levante             </t>
  </si>
  <si>
    <t xml:space="preserve">Reproductor              </t>
  </si>
  <si>
    <t xml:space="preserve">HEMBRAS                  </t>
  </si>
  <si>
    <t xml:space="preserve">Vaca parida              </t>
  </si>
  <si>
    <t xml:space="preserve">Cría hembra              </t>
  </si>
  <si>
    <t xml:space="preserve">Vaca seca                </t>
  </si>
  <si>
    <t xml:space="preserve">Hemb. levante            </t>
  </si>
  <si>
    <t xml:space="preserve">Nov. vientre             </t>
  </si>
  <si>
    <t xml:space="preserve">TOTAL ANIMALES NUMERADOS </t>
  </si>
  <si>
    <t>Estado Reproductivo de animales Enero.</t>
  </si>
  <si>
    <t>Descripción</t>
  </si>
  <si>
    <t>Total</t>
  </si>
  <si>
    <t xml:space="preserve">    Vacias               </t>
  </si>
  <si>
    <t xml:space="preserve">    Preñadas             </t>
  </si>
  <si>
    <t>Inventario de animales Bariloche Enero.</t>
  </si>
  <si>
    <t>[F1-001] HACIENDA LA VEGA. Traslados entre fincas Enero.</t>
  </si>
  <si>
    <t>Fecha Traslado</t>
  </si>
  <si>
    <t>Destino Origen</t>
  </si>
  <si>
    <t>Tipo Movimiento</t>
  </si>
  <si>
    <t xml:space="preserve">19-5        </t>
  </si>
  <si>
    <t xml:space="preserve">Mac. levante        </t>
  </si>
  <si>
    <t>F1-005</t>
  </si>
  <si>
    <t>S</t>
  </si>
  <si>
    <t xml:space="preserve">197         </t>
  </si>
  <si>
    <t xml:space="preserve">257         </t>
  </si>
  <si>
    <t xml:space="preserve">261         </t>
  </si>
  <si>
    <t>Resumen Venta Subasta Dorexpo.</t>
  </si>
  <si>
    <t>fecha</t>
  </si>
  <si>
    <t>cantidad hembras destetas</t>
  </si>
  <si>
    <t xml:space="preserve">peso finca </t>
  </si>
  <si>
    <t>valor kilo venta en finca</t>
  </si>
  <si>
    <t>peso subasta</t>
  </si>
  <si>
    <t>diferencia - kilos</t>
  </si>
  <si>
    <t>merma %</t>
  </si>
  <si>
    <t>gastos</t>
  </si>
  <si>
    <t>costo flete</t>
  </si>
  <si>
    <t>costo alquiler corral</t>
  </si>
  <si>
    <t>valor kilo venta subasta</t>
  </si>
  <si>
    <t>valor total venta subasta</t>
  </si>
  <si>
    <t>consignacion subasta</t>
  </si>
  <si>
    <t>total costo de envio</t>
  </si>
  <si>
    <t>valor neto</t>
  </si>
  <si>
    <t>valor kilo subasta neto</t>
  </si>
  <si>
    <t>costo kilo puesto en subasta</t>
  </si>
  <si>
    <t>menos alquiler corral 3%</t>
  </si>
  <si>
    <t>menos transporte y merma</t>
  </si>
  <si>
    <t>valor total percibido</t>
  </si>
  <si>
    <t>valor kilo en finca</t>
  </si>
  <si>
    <t>valor total a consignar subasta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</si>
</sst>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"/>
    <numFmt numFmtId="170" formatCode="0.0%"/>
  </numFmts>
  <fonts count="22" x14ac:knownFonts="1">
    <font>
      <sz val="11"/>
      <color theme="1"/>
      <name val="Calibri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8"/>
      <color indexed="8"/>
      <name val="Arial"/>
      <family val="2"/>
    </font>
    <font>
      <sz val="16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Calibri"/>
      <family val="2"/>
    </font>
    <font>
      <sz val="12"/>
      <color indexed="8"/>
      <name val="Arial"/>
      <family val="2"/>
    </font>
    <font>
      <b/>
      <sz val="11"/>
      <color indexed="10"/>
      <name val="Tahoma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8"/>
      <color indexed="8"/>
      <name val="Arial"/>
      <family val="2"/>
    </font>
    <font>
      <sz val="16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Calibri"/>
      <family val="2"/>
    </font>
    <font>
      <sz val="11"/>
      <name val="Calibri"/>
      <family val="2"/>
    </font>
    <font>
      <sz val="1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Continuous"/>
    </xf>
    <xf numFmtId="0" fontId="2" fillId="0" borderId="0" xfId="0" applyFont="1"/>
    <xf numFmtId="0" fontId="1" fillId="0" borderId="3" xfId="0" applyFont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Continuous"/>
    </xf>
    <xf numFmtId="0" fontId="2" fillId="0" borderId="0" xfId="0" applyFont="1" applyFill="1"/>
    <xf numFmtId="0" fontId="2" fillId="0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Continuous" vertical="center"/>
    </xf>
    <xf numFmtId="0" fontId="5" fillId="0" borderId="5" xfId="0" applyFont="1" applyBorder="1" applyAlignment="1">
      <alignment horizontal="centerContinuous" vertical="center"/>
    </xf>
    <xf numFmtId="0" fontId="5" fillId="0" borderId="6" xfId="0" applyFont="1" applyBorder="1" applyAlignment="1">
      <alignment horizontal="centerContinuous" vertical="center"/>
    </xf>
    <xf numFmtId="0" fontId="5" fillId="0" borderId="7" xfId="0" applyFont="1" applyBorder="1" applyAlignment="1">
      <alignment horizontal="centerContinuous" vertical="center"/>
    </xf>
    <xf numFmtId="0" fontId="5" fillId="0" borderId="8" xfId="0" applyFont="1" applyBorder="1" applyAlignment="1">
      <alignment horizontal="centerContinuous" vertical="center"/>
    </xf>
    <xf numFmtId="0" fontId="5" fillId="0" borderId="9" xfId="0" applyFont="1" applyBorder="1" applyAlignment="1">
      <alignment horizontal="centerContinuous" vertical="center"/>
    </xf>
    <xf numFmtId="49" fontId="4" fillId="0" borderId="3" xfId="0" applyNumberFormat="1" applyFont="1" applyBorder="1"/>
    <xf numFmtId="1" fontId="4" fillId="0" borderId="3" xfId="0" applyNumberFormat="1" applyFont="1" applyBorder="1" applyAlignment="1">
      <alignment horizontal="center"/>
    </xf>
    <xf numFmtId="49" fontId="2" fillId="0" borderId="3" xfId="0" applyNumberFormat="1" applyFont="1" applyBorder="1"/>
    <xf numFmtId="1" fontId="2" fillId="0" borderId="3" xfId="0" applyNumberFormat="1" applyFont="1" applyBorder="1" applyAlignment="1">
      <alignment horizontal="center"/>
    </xf>
    <xf numFmtId="49" fontId="2" fillId="0" borderId="10" xfId="0" applyNumberFormat="1" applyFont="1" applyBorder="1"/>
    <xf numFmtId="1" fontId="2" fillId="0" borderId="0" xfId="0" applyNumberFormat="1" applyFont="1" applyAlignment="1">
      <alignment horizontal="center"/>
    </xf>
    <xf numFmtId="1" fontId="2" fillId="0" borderId="11" xfId="0" applyNumberFormat="1" applyFont="1" applyBorder="1" applyAlignment="1">
      <alignment horizontal="center"/>
    </xf>
    <xf numFmtId="49" fontId="2" fillId="0" borderId="7" xfId="0" applyNumberFormat="1" applyFont="1" applyBorder="1"/>
    <xf numFmtId="1" fontId="2" fillId="0" borderId="8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Continuous"/>
    </xf>
    <xf numFmtId="0" fontId="5" fillId="0" borderId="5" xfId="0" applyFont="1" applyBorder="1" applyAlignment="1">
      <alignment horizontal="centerContinuous"/>
    </xf>
    <xf numFmtId="0" fontId="5" fillId="0" borderId="6" xfId="0" applyFont="1" applyBorder="1" applyAlignment="1">
      <alignment horizontal="centerContinuous"/>
    </xf>
    <xf numFmtId="0" fontId="5" fillId="0" borderId="7" xfId="0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49" fontId="2" fillId="0" borderId="0" xfId="0" applyNumberFormat="1" applyFont="1"/>
    <xf numFmtId="0" fontId="2" fillId="0" borderId="0" xfId="0" applyFont="1" applyFill="1" applyAlignment="1"/>
    <xf numFmtId="49" fontId="6" fillId="0" borderId="0" xfId="0" applyNumberFormat="1" applyFont="1" applyBorder="1"/>
    <xf numFmtId="164" fontId="6" fillId="0" borderId="0" xfId="0" applyNumberFormat="1" applyFont="1" applyBorder="1"/>
    <xf numFmtId="49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49" fontId="6" fillId="0" borderId="0" xfId="0" applyNumberFormat="1" applyFont="1" applyFill="1" applyBorder="1"/>
    <xf numFmtId="49" fontId="7" fillId="0" borderId="0" xfId="0" applyNumberFormat="1" applyFont="1" applyBorder="1"/>
    <xf numFmtId="49" fontId="7" fillId="0" borderId="0" xfId="0" applyNumberFormat="1" applyFont="1" applyFill="1" applyBorder="1"/>
    <xf numFmtId="3" fontId="7" fillId="0" borderId="0" xfId="0" applyNumberFormat="1" applyFont="1" applyBorder="1" applyAlignment="1">
      <alignment horizontal="center"/>
    </xf>
    <xf numFmtId="3" fontId="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10" fillId="0" borderId="12" xfId="0" applyFont="1" applyBorder="1" applyAlignment="1">
      <alignment vertical="center" wrapText="1"/>
    </xf>
    <xf numFmtId="0" fontId="10" fillId="0" borderId="12" xfId="0" applyFont="1" applyBorder="1" applyAlignment="1">
      <alignment horizontal="centerContinuous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1" fillId="0" borderId="13" xfId="0" applyFont="1" applyBorder="1" applyAlignment="1">
      <alignment horizontal="centerContinuous"/>
    </xf>
    <xf numFmtId="0" fontId="11" fillId="0" borderId="14" xfId="0" applyFont="1" applyBorder="1" applyAlignment="1">
      <alignment horizontal="centerContinuous"/>
    </xf>
    <xf numFmtId="0" fontId="11" fillId="0" borderId="15" xfId="0" applyFont="1" applyBorder="1" applyAlignment="1">
      <alignment horizontal="centerContinuous"/>
    </xf>
    <xf numFmtId="0" fontId="10" fillId="0" borderId="22" xfId="0" applyFont="1" applyBorder="1" applyAlignment="1">
      <alignment vertical="center" wrapText="1"/>
    </xf>
    <xf numFmtId="0" fontId="10" fillId="0" borderId="22" xfId="0" applyFont="1" applyBorder="1" applyAlignment="1">
      <alignment horizontal="centerContinuous" vertical="center" wrapText="1"/>
    </xf>
    <xf numFmtId="0" fontId="0" fillId="0" borderId="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49" fontId="0" fillId="0" borderId="0" xfId="0" applyNumberFormat="1"/>
    <xf numFmtId="164" fontId="0" fillId="0" borderId="0" xfId="0" applyNumberFormat="1"/>
    <xf numFmtId="49" fontId="3" fillId="0" borderId="0" xfId="0" applyNumberFormat="1" applyFont="1" applyBorder="1"/>
    <xf numFmtId="49" fontId="3" fillId="0" borderId="0" xfId="0" applyNumberFormat="1" applyFont="1" applyFill="1" applyBorder="1"/>
    <xf numFmtId="0" fontId="2" fillId="2" borderId="0" xfId="0" applyFont="1" applyFill="1" applyAlignment="1">
      <alignment horizontal="centerContinuous"/>
    </xf>
    <xf numFmtId="0" fontId="13" fillId="2" borderId="0" xfId="0" applyFont="1" applyFill="1" applyAlignment="1"/>
    <xf numFmtId="0" fontId="14" fillId="0" borderId="3" xfId="0" applyFont="1" applyBorder="1" applyAlignment="1">
      <alignment horizontal="centerContinuous" vertical="center"/>
    </xf>
    <xf numFmtId="0" fontId="15" fillId="0" borderId="0" xfId="0" applyFont="1"/>
    <xf numFmtId="14" fontId="15" fillId="0" borderId="2" xfId="0" applyNumberFormat="1" applyFont="1" applyBorder="1" applyAlignment="1">
      <alignment horizontal="left"/>
    </xf>
    <xf numFmtId="14" fontId="14" fillId="0" borderId="2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2" xfId="0" applyFont="1" applyBorder="1"/>
    <xf numFmtId="3" fontId="15" fillId="0" borderId="2" xfId="0" applyNumberFormat="1" applyFont="1" applyBorder="1"/>
    <xf numFmtId="3" fontId="15" fillId="0" borderId="0" xfId="0" applyNumberFormat="1" applyFont="1"/>
    <xf numFmtId="3" fontId="14" fillId="0" borderId="2" xfId="0" applyNumberFormat="1" applyFont="1" applyBorder="1"/>
    <xf numFmtId="170" fontId="15" fillId="0" borderId="2" xfId="0" applyNumberFormat="1" applyFont="1" applyBorder="1"/>
    <xf numFmtId="9" fontId="15" fillId="0" borderId="26" xfId="0" applyNumberFormat="1" applyFont="1" applyBorder="1" applyAlignment="1">
      <alignment horizontal="center"/>
    </xf>
    <xf numFmtId="9" fontId="15" fillId="0" borderId="2" xfId="0" applyNumberFormat="1" applyFont="1" applyBorder="1"/>
    <xf numFmtId="9" fontId="15" fillId="0" borderId="2" xfId="0" applyNumberFormat="1" applyFont="1" applyBorder="1" applyAlignment="1">
      <alignment horizontal="center"/>
    </xf>
    <xf numFmtId="10" fontId="15" fillId="0" borderId="2" xfId="0" applyNumberFormat="1" applyFont="1" applyBorder="1"/>
    <xf numFmtId="9" fontId="15" fillId="0" borderId="27" xfId="0" applyNumberFormat="1" applyFont="1" applyBorder="1" applyAlignment="1">
      <alignment horizontal="center"/>
    </xf>
    <xf numFmtId="9" fontId="14" fillId="0" borderId="0" xfId="0" applyNumberFormat="1" applyFont="1"/>
    <xf numFmtId="0" fontId="15" fillId="0" borderId="27" xfId="0" applyFont="1" applyBorder="1"/>
    <xf numFmtId="3" fontId="14" fillId="0" borderId="27" xfId="0" applyNumberFormat="1" applyFont="1" applyBorder="1"/>
    <xf numFmtId="3" fontId="15" fillId="0" borderId="27" xfId="0" applyNumberFormat="1" applyFont="1" applyBorder="1"/>
    <xf numFmtId="0" fontId="15" fillId="0" borderId="4" xfId="0" applyFont="1" applyBorder="1"/>
    <xf numFmtId="3" fontId="15" fillId="0" borderId="6" xfId="0" applyNumberFormat="1" applyFont="1" applyBorder="1"/>
    <xf numFmtId="0" fontId="15" fillId="0" borderId="10" xfId="0" applyFont="1" applyBorder="1"/>
    <xf numFmtId="3" fontId="15" fillId="0" borderId="11" xfId="0" applyNumberFormat="1" applyFont="1" applyBorder="1"/>
    <xf numFmtId="0" fontId="14" fillId="0" borderId="3" xfId="0" applyFont="1" applyBorder="1"/>
    <xf numFmtId="3" fontId="14" fillId="0" borderId="3" xfId="0" applyNumberFormat="1" applyFont="1" applyBorder="1"/>
    <xf numFmtId="0" fontId="14" fillId="0" borderId="23" xfId="0" applyFont="1" applyBorder="1"/>
    <xf numFmtId="2" fontId="0" fillId="0" borderId="0" xfId="0" applyNumberFormat="1"/>
    <xf numFmtId="1" fontId="0" fillId="0" borderId="0" xfId="0" applyNumberFormat="1"/>
    <xf numFmtId="49" fontId="15" fillId="0" borderId="3" xfId="0" applyNumberFormat="1" applyFont="1" applyBorder="1"/>
    <xf numFmtId="49" fontId="15" fillId="0" borderId="3" xfId="0" applyNumberFormat="1" applyFont="1" applyBorder="1" applyAlignment="1">
      <alignment horizontal="center"/>
    </xf>
    <xf numFmtId="164" fontId="15" fillId="0" borderId="3" xfId="0" applyNumberFormat="1" applyFont="1" applyBorder="1"/>
    <xf numFmtId="1" fontId="15" fillId="0" borderId="3" xfId="0" applyNumberFormat="1" applyFont="1" applyBorder="1" applyAlignment="1">
      <alignment horizontal="center"/>
    </xf>
    <xf numFmtId="164" fontId="15" fillId="0" borderId="3" xfId="0" applyNumberFormat="1" applyFont="1" applyBorder="1" applyAlignment="1">
      <alignment horizontal="center"/>
    </xf>
    <xf numFmtId="0" fontId="16" fillId="0" borderId="0" xfId="0" applyFont="1" applyAlignment="1">
      <alignment horizontal="centerContinuous"/>
    </xf>
    <xf numFmtId="0" fontId="17" fillId="0" borderId="0" xfId="0" applyFont="1" applyAlignment="1">
      <alignment horizontal="centerContinuous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Continuous"/>
    </xf>
    <xf numFmtId="0" fontId="18" fillId="0" borderId="12" xfId="0" applyFont="1" applyBorder="1" applyAlignment="1">
      <alignment horizontal="centerContinuous" vertical="center" wrapText="1"/>
    </xf>
    <xf numFmtId="0" fontId="19" fillId="0" borderId="14" xfId="0" applyFont="1" applyBorder="1" applyAlignment="1">
      <alignment horizontal="centerContinuous" wrapText="1"/>
    </xf>
    <xf numFmtId="0" fontId="19" fillId="0" borderId="28" xfId="0" applyFont="1" applyBorder="1" applyAlignment="1">
      <alignment horizontal="centerContinuous" wrapText="1"/>
    </xf>
    <xf numFmtId="0" fontId="19" fillId="0" borderId="29" xfId="0" applyFont="1" applyBorder="1" applyAlignment="1">
      <alignment horizontal="centerContinuous" wrapText="1"/>
    </xf>
    <xf numFmtId="0" fontId="19" fillId="0" borderId="30" xfId="0" applyFont="1" applyBorder="1" applyAlignment="1">
      <alignment horizontal="centerContinuous" wrapText="1"/>
    </xf>
    <xf numFmtId="0" fontId="19" fillId="0" borderId="31" xfId="0" applyFont="1" applyBorder="1" applyAlignment="1">
      <alignment horizontal="centerContinuous" wrapText="1"/>
    </xf>
    <xf numFmtId="0" fontId="18" fillId="0" borderId="22" xfId="0" applyFont="1" applyBorder="1" applyAlignment="1">
      <alignment horizontal="centerContinuous" vertical="center" wrapText="1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1" fontId="2" fillId="0" borderId="3" xfId="0" applyNumberFormat="1" applyFont="1" applyFill="1" applyBorder="1" applyAlignment="1">
      <alignment horizontal="center"/>
    </xf>
    <xf numFmtId="49" fontId="2" fillId="0" borderId="3" xfId="0" applyNumberFormat="1" applyFont="1" applyFill="1" applyBorder="1"/>
    <xf numFmtId="49" fontId="2" fillId="0" borderId="3" xfId="0" applyNumberFormat="1" applyFont="1" applyFill="1" applyBorder="1" applyAlignment="1">
      <alignment horizontal="center"/>
    </xf>
    <xf numFmtId="2" fontId="2" fillId="0" borderId="3" xfId="0" applyNumberFormat="1" applyFont="1" applyFill="1" applyBorder="1" applyAlignment="1">
      <alignment horizontal="center"/>
    </xf>
    <xf numFmtId="164" fontId="2" fillId="0" borderId="3" xfId="0" applyNumberFormat="1" applyFont="1" applyFill="1" applyBorder="1"/>
    <xf numFmtId="0" fontId="21" fillId="0" borderId="0" xfId="0" applyFont="1" applyFill="1" applyAlignment="1">
      <alignment horizontal="centerContinuous"/>
    </xf>
    <xf numFmtId="0" fontId="21" fillId="0" borderId="0" xfId="0" applyFont="1" applyFill="1" applyAlignment="1"/>
    <xf numFmtId="2" fontId="15" fillId="0" borderId="3" xfId="0" applyNumberFormat="1" applyFont="1" applyBorder="1" applyAlignment="1">
      <alignment horizontal="center"/>
    </xf>
    <xf numFmtId="3" fontId="15" fillId="0" borderId="3" xfId="0" applyNumberFormat="1" applyFont="1" applyBorder="1" applyAlignment="1">
      <alignment horizontal="center"/>
    </xf>
    <xf numFmtId="3" fontId="4" fillId="0" borderId="3" xfId="0" applyNumberFormat="1" applyFont="1" applyFill="1" applyBorder="1" applyAlignment="1">
      <alignment horizontal="center"/>
    </xf>
    <xf numFmtId="3" fontId="14" fillId="0" borderId="0" xfId="0" applyNumberFormat="1" applyFont="1"/>
    <xf numFmtId="49" fontId="2" fillId="0" borderId="3" xfId="0" applyNumberFormat="1" applyFont="1" applyFill="1" applyBorder="1" applyAlignment="1">
      <alignment horizontal="center" vertical="center"/>
    </xf>
    <xf numFmtId="49" fontId="15" fillId="0" borderId="35" xfId="0" applyNumberFormat="1" applyFont="1" applyBorder="1" applyAlignment="1">
      <alignment horizontal="center"/>
    </xf>
    <xf numFmtId="2" fontId="15" fillId="0" borderId="35" xfId="0" applyNumberFormat="1" applyFont="1" applyBorder="1" applyAlignment="1">
      <alignment horizontal="center"/>
    </xf>
    <xf numFmtId="1" fontId="15" fillId="0" borderId="35" xfId="0" applyNumberFormat="1" applyFont="1" applyBorder="1" applyAlignment="1">
      <alignment horizontal="center"/>
    </xf>
    <xf numFmtId="164" fontId="15" fillId="0" borderId="3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ebb050619537ca2/Escritorio/HDA%20VEGA/invent.%20ganad%20vega-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ebb050619537ca2/Escritorio/HDA%20VEGA/invent.%20ganad%20bariloche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"/>
    </sheetNames>
    <sheetDataSet>
      <sheetData sheetId="0"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2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"/>
      <sheetName val="AGO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4158-459C-4042-AC2F-870ED0F455DA}">
  <dimension ref="A1:M77"/>
  <sheetViews>
    <sheetView topLeftCell="A2" workbookViewId="0">
      <selection activeCell="A14" sqref="A14"/>
    </sheetView>
  </sheetViews>
  <sheetFormatPr defaultRowHeight="14.4" x14ac:dyDescent="0.3"/>
  <cols>
    <col min="1" max="256" width="11.5546875" customWidth="1"/>
  </cols>
  <sheetData>
    <row r="1" spans="1:13" ht="22.8" x14ac:dyDescent="0.4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20.399999999999999" x14ac:dyDescent="0.35">
      <c r="A2" s="112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</row>
    <row r="3" spans="1:13" ht="15.6" x14ac:dyDescent="0.3">
      <c r="A3" s="114" t="s">
        <v>2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</row>
    <row r="4" spans="1:13" ht="15" thickBot="1" x14ac:dyDescent="0.35"/>
    <row r="5" spans="1:13" ht="15.45" customHeight="1" thickTop="1" thickBot="1" x14ac:dyDescent="0.35">
      <c r="A5" s="115" t="s">
        <v>3</v>
      </c>
      <c r="B5" s="115" t="s">
        <v>4</v>
      </c>
      <c r="C5" s="116" t="s">
        <v>5</v>
      </c>
      <c r="D5" s="117"/>
      <c r="E5" s="117"/>
      <c r="F5" s="117"/>
      <c r="G5" s="118"/>
      <c r="H5" s="119" t="s">
        <v>6</v>
      </c>
      <c r="I5" s="117"/>
      <c r="J5" s="117"/>
      <c r="K5" s="117"/>
      <c r="L5" s="120"/>
      <c r="M5" s="115" t="s">
        <v>7</v>
      </c>
    </row>
    <row r="6" spans="1:13" ht="15.6" thickTop="1" thickBot="1" x14ac:dyDescent="0.35">
      <c r="A6" s="121"/>
      <c r="B6" s="121"/>
      <c r="C6" s="122" t="s">
        <v>8</v>
      </c>
      <c r="D6" s="122" t="s">
        <v>9</v>
      </c>
      <c r="E6" s="122" t="s">
        <v>10</v>
      </c>
      <c r="F6" s="122" t="s">
        <v>11</v>
      </c>
      <c r="G6" s="123" t="s">
        <v>12</v>
      </c>
      <c r="H6" s="124" t="s">
        <v>13</v>
      </c>
      <c r="I6" s="122" t="s">
        <v>9</v>
      </c>
      <c r="J6" s="122" t="s">
        <v>12</v>
      </c>
      <c r="K6" s="122" t="s">
        <v>10</v>
      </c>
      <c r="L6" s="122" t="s">
        <v>14</v>
      </c>
      <c r="M6" s="121"/>
    </row>
    <row r="7" spans="1:13" ht="15" thickTop="1" x14ac:dyDescent="0.3">
      <c r="A7" s="54" t="s">
        <v>15</v>
      </c>
      <c r="B7" s="55">
        <v>49</v>
      </c>
      <c r="C7" s="56"/>
      <c r="D7" s="56">
        <f>I10+I11</f>
        <v>6</v>
      </c>
      <c r="E7" s="56"/>
      <c r="F7" s="56"/>
      <c r="G7" s="57"/>
      <c r="H7" s="58"/>
      <c r="I7" s="125">
        <v>10</v>
      </c>
      <c r="J7" s="56"/>
      <c r="K7" s="56"/>
      <c r="L7" s="56"/>
      <c r="M7" s="59">
        <f>SUM(B7+C7+D7+E7+F7+G7-H7-I7-J7-K7-L7)</f>
        <v>45</v>
      </c>
    </row>
    <row r="8" spans="1:13" x14ac:dyDescent="0.3">
      <c r="A8" s="1" t="s">
        <v>16</v>
      </c>
      <c r="B8" s="68">
        <v>27</v>
      </c>
      <c r="C8" s="68">
        <v>4</v>
      </c>
      <c r="D8" s="68"/>
      <c r="E8" s="68"/>
      <c r="F8" s="68"/>
      <c r="G8" s="69"/>
      <c r="H8" s="70"/>
      <c r="I8" s="68">
        <v>7</v>
      </c>
      <c r="J8" s="68"/>
      <c r="K8" s="68"/>
      <c r="L8" s="68">
        <v>1</v>
      </c>
      <c r="M8" s="71">
        <f t="shared" ref="M8:M18" si="0">SUM(B8+C8+D8+E8+F8+G8-H8-I8-J8-K8-L8)</f>
        <v>23</v>
      </c>
    </row>
    <row r="9" spans="1:13" x14ac:dyDescent="0.3">
      <c r="A9" s="1" t="s">
        <v>17</v>
      </c>
      <c r="B9" s="68">
        <v>22</v>
      </c>
      <c r="C9" s="68">
        <v>2</v>
      </c>
      <c r="D9" s="68"/>
      <c r="E9" s="68"/>
      <c r="F9" s="68"/>
      <c r="G9" s="69"/>
      <c r="H9" s="70"/>
      <c r="I9" s="68">
        <v>2</v>
      </c>
      <c r="J9" s="68"/>
      <c r="K9" s="68"/>
      <c r="L9" s="68"/>
      <c r="M9" s="71">
        <f t="shared" si="0"/>
        <v>22</v>
      </c>
    </row>
    <row r="10" spans="1:13" x14ac:dyDescent="0.3">
      <c r="A10" s="1" t="s">
        <v>18</v>
      </c>
      <c r="B10" s="68">
        <v>37</v>
      </c>
      <c r="C10" s="68"/>
      <c r="D10" s="68">
        <f>I7</f>
        <v>10</v>
      </c>
      <c r="E10" s="68"/>
      <c r="F10" s="68"/>
      <c r="G10" s="69"/>
      <c r="H10" s="70"/>
      <c r="I10" s="68">
        <v>5</v>
      </c>
      <c r="J10" s="68"/>
      <c r="K10" s="68"/>
      <c r="L10" s="68"/>
      <c r="M10" s="71">
        <f t="shared" si="0"/>
        <v>42</v>
      </c>
    </row>
    <row r="11" spans="1:13" x14ac:dyDescent="0.3">
      <c r="A11" s="1" t="s">
        <v>19</v>
      </c>
      <c r="B11" s="68">
        <v>11</v>
      </c>
      <c r="C11" s="68"/>
      <c r="D11" s="68"/>
      <c r="E11" s="68"/>
      <c r="F11" s="68"/>
      <c r="G11" s="69"/>
      <c r="H11" s="70">
        <v>1</v>
      </c>
      <c r="I11" s="68">
        <v>1</v>
      </c>
      <c r="J11" s="68"/>
      <c r="K11" s="68"/>
      <c r="L11" s="68"/>
      <c r="M11" s="71">
        <f t="shared" si="0"/>
        <v>9</v>
      </c>
    </row>
    <row r="12" spans="1:13" x14ac:dyDescent="0.3">
      <c r="A12" s="1" t="s">
        <v>20</v>
      </c>
      <c r="B12" s="68">
        <v>4</v>
      </c>
      <c r="C12" s="68"/>
      <c r="D12" s="68"/>
      <c r="E12" s="68"/>
      <c r="F12" s="68"/>
      <c r="G12" s="69"/>
      <c r="H12" s="70"/>
      <c r="I12" s="68"/>
      <c r="J12" s="68"/>
      <c r="K12" s="68"/>
      <c r="L12" s="68"/>
      <c r="M12" s="71">
        <f t="shared" si="0"/>
        <v>4</v>
      </c>
    </row>
    <row r="13" spans="1:13" x14ac:dyDescent="0.3">
      <c r="A13" s="1" t="s">
        <v>21</v>
      </c>
      <c r="B13" s="68">
        <v>0</v>
      </c>
      <c r="C13" s="68"/>
      <c r="D13" s="68"/>
      <c r="E13" s="68"/>
      <c r="F13" s="68"/>
      <c r="G13" s="69"/>
      <c r="H13" s="70"/>
      <c r="I13" s="68"/>
      <c r="J13" s="68"/>
      <c r="K13" s="68"/>
      <c r="L13" s="68"/>
      <c r="M13" s="71">
        <f t="shared" si="0"/>
        <v>0</v>
      </c>
    </row>
    <row r="14" spans="1:13" x14ac:dyDescent="0.3">
      <c r="A14" s="1" t="s">
        <v>22</v>
      </c>
      <c r="B14" s="68">
        <v>25</v>
      </c>
      <c r="C14" s="68"/>
      <c r="D14" s="68">
        <v>2</v>
      </c>
      <c r="E14" s="68"/>
      <c r="F14" s="68"/>
      <c r="G14" s="69"/>
      <c r="H14" s="70"/>
      <c r="I14" s="68"/>
      <c r="J14" s="68"/>
      <c r="K14" s="68"/>
      <c r="L14" s="68"/>
      <c r="M14" s="71">
        <f t="shared" si="0"/>
        <v>27</v>
      </c>
    </row>
    <row r="15" spans="1:13" x14ac:dyDescent="0.3">
      <c r="A15" s="1" t="s">
        <v>23</v>
      </c>
      <c r="B15" s="68">
        <v>0</v>
      </c>
      <c r="C15" s="68"/>
      <c r="D15" s="68"/>
      <c r="E15" s="68"/>
      <c r="F15" s="68"/>
      <c r="G15" s="69"/>
      <c r="H15" s="70"/>
      <c r="I15" s="68"/>
      <c r="J15" s="68"/>
      <c r="K15" s="68"/>
      <c r="L15" s="68"/>
      <c r="M15" s="71">
        <f t="shared" si="0"/>
        <v>0</v>
      </c>
    </row>
    <row r="16" spans="1:13" x14ac:dyDescent="0.3">
      <c r="A16" s="1" t="s">
        <v>24</v>
      </c>
      <c r="B16" s="68">
        <v>7</v>
      </c>
      <c r="C16" s="68"/>
      <c r="D16" s="68">
        <v>7</v>
      </c>
      <c r="E16" s="68"/>
      <c r="F16" s="68"/>
      <c r="G16" s="69"/>
      <c r="H16" s="70"/>
      <c r="I16" s="68"/>
      <c r="J16" s="68"/>
      <c r="K16" s="68">
        <v>11</v>
      </c>
      <c r="L16" s="68"/>
      <c r="M16" s="71">
        <f t="shared" si="0"/>
        <v>3</v>
      </c>
    </row>
    <row r="17" spans="1:13" x14ac:dyDescent="0.3">
      <c r="A17" s="1" t="s">
        <v>25</v>
      </c>
      <c r="B17" s="68">
        <v>0</v>
      </c>
      <c r="C17" s="68"/>
      <c r="D17" s="68"/>
      <c r="E17" s="68"/>
      <c r="F17" s="68"/>
      <c r="G17" s="69"/>
      <c r="H17" s="70"/>
      <c r="I17" s="68"/>
      <c r="J17" s="68"/>
      <c r="K17" s="68"/>
      <c r="L17" s="68"/>
      <c r="M17" s="71">
        <f t="shared" si="0"/>
        <v>0</v>
      </c>
    </row>
    <row r="18" spans="1:13" ht="15" thickBot="1" x14ac:dyDescent="0.35">
      <c r="A18" s="126" t="s">
        <v>26</v>
      </c>
      <c r="B18" s="2">
        <v>0</v>
      </c>
      <c r="C18" s="127"/>
      <c r="D18" s="127"/>
      <c r="E18" s="127"/>
      <c r="F18" s="127"/>
      <c r="G18" s="128"/>
      <c r="H18" s="129"/>
      <c r="I18" s="127"/>
      <c r="J18" s="127"/>
      <c r="K18" s="127"/>
      <c r="L18" s="127"/>
      <c r="M18" s="130">
        <f t="shared" si="0"/>
        <v>0</v>
      </c>
    </row>
    <row r="19" spans="1:13" ht="15.6" thickTop="1" thickBot="1" x14ac:dyDescent="0.35">
      <c r="A19" s="60" t="s">
        <v>27</v>
      </c>
      <c r="B19" s="60">
        <f t="shared" ref="B19:M19" si="1">SUM(B7:B18)</f>
        <v>182</v>
      </c>
      <c r="C19" s="60">
        <f t="shared" si="1"/>
        <v>6</v>
      </c>
      <c r="D19" s="60">
        <f t="shared" si="1"/>
        <v>25</v>
      </c>
      <c r="E19" s="60">
        <f t="shared" si="1"/>
        <v>0</v>
      </c>
      <c r="F19" s="60">
        <f t="shared" si="1"/>
        <v>0</v>
      </c>
      <c r="G19" s="61">
        <f t="shared" si="1"/>
        <v>0</v>
      </c>
      <c r="H19" s="62">
        <f t="shared" si="1"/>
        <v>1</v>
      </c>
      <c r="I19" s="60">
        <f t="shared" si="1"/>
        <v>25</v>
      </c>
      <c r="J19" s="60">
        <f t="shared" si="1"/>
        <v>0</v>
      </c>
      <c r="K19" s="60">
        <f t="shared" si="1"/>
        <v>11</v>
      </c>
      <c r="L19" s="60">
        <f t="shared" si="1"/>
        <v>1</v>
      </c>
      <c r="M19" s="60">
        <f t="shared" si="1"/>
        <v>175</v>
      </c>
    </row>
    <row r="20" spans="1:13" ht="15" thickTop="1" x14ac:dyDescent="0.3"/>
    <row r="21" spans="1:13" ht="22.8" x14ac:dyDescent="0.4">
      <c r="A21" s="47" t="s">
        <v>28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</row>
    <row r="22" spans="1:13" ht="20.399999999999999" x14ac:dyDescent="0.35">
      <c r="A22" s="48" t="s">
        <v>1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</row>
    <row r="23" spans="1:13" ht="15.6" x14ac:dyDescent="0.3">
      <c r="A23" s="114" t="s">
        <v>2</v>
      </c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</row>
    <row r="24" spans="1:13" ht="15" thickBot="1" x14ac:dyDescent="0.35"/>
    <row r="25" spans="1:13" ht="15.45" customHeight="1" thickTop="1" thickBot="1" x14ac:dyDescent="0.35">
      <c r="A25" s="49" t="s">
        <v>3</v>
      </c>
      <c r="B25" s="50" t="s">
        <v>4</v>
      </c>
      <c r="C25" s="63" t="s">
        <v>5</v>
      </c>
      <c r="D25" s="63"/>
      <c r="E25" s="63"/>
      <c r="F25" s="63"/>
      <c r="G25" s="64"/>
      <c r="H25" s="65" t="s">
        <v>6</v>
      </c>
      <c r="I25" s="63"/>
      <c r="J25" s="63"/>
      <c r="K25" s="63"/>
      <c r="L25" s="63"/>
      <c r="M25" s="50" t="s">
        <v>7</v>
      </c>
    </row>
    <row r="26" spans="1:13" ht="15.6" thickTop="1" thickBot="1" x14ac:dyDescent="0.35">
      <c r="A26" s="66"/>
      <c r="B26" s="67"/>
      <c r="C26" s="51" t="s">
        <v>8</v>
      </c>
      <c r="D26" s="51" t="s">
        <v>9</v>
      </c>
      <c r="E26" s="51" t="s">
        <v>10</v>
      </c>
      <c r="F26" s="51" t="s">
        <v>11</v>
      </c>
      <c r="G26" s="52" t="s">
        <v>12</v>
      </c>
      <c r="H26" s="53" t="s">
        <v>13</v>
      </c>
      <c r="I26" s="51" t="s">
        <v>9</v>
      </c>
      <c r="J26" s="51" t="s">
        <v>12</v>
      </c>
      <c r="K26" s="51" t="s">
        <v>10</v>
      </c>
      <c r="L26" s="51" t="s">
        <v>14</v>
      </c>
      <c r="M26" s="67"/>
    </row>
    <row r="27" spans="1:13" ht="15" thickTop="1" x14ac:dyDescent="0.3">
      <c r="A27" s="54" t="s">
        <v>29</v>
      </c>
      <c r="B27" s="55">
        <f>[1]JUL!M39</f>
        <v>0</v>
      </c>
      <c r="C27" s="56"/>
      <c r="D27" s="56"/>
      <c r="E27" s="56"/>
      <c r="F27" s="56"/>
      <c r="G27" s="57"/>
      <c r="H27" s="58"/>
      <c r="I27" s="56"/>
      <c r="J27" s="56"/>
      <c r="K27" s="56"/>
      <c r="L27" s="56"/>
      <c r="M27" s="59">
        <f>SUM(B27+C27+D27+E27+F27+G27-H27-I27-J27-K27-L27)</f>
        <v>0</v>
      </c>
    </row>
    <row r="28" spans="1:13" x14ac:dyDescent="0.3">
      <c r="A28" s="1" t="s">
        <v>30</v>
      </c>
      <c r="B28" s="68">
        <f>[1]JUL!M40</f>
        <v>0</v>
      </c>
      <c r="C28" s="68"/>
      <c r="D28" s="68"/>
      <c r="E28" s="68"/>
      <c r="F28" s="68"/>
      <c r="G28" s="69"/>
      <c r="H28" s="70"/>
      <c r="I28" s="68"/>
      <c r="J28" s="68"/>
      <c r="K28" s="68"/>
      <c r="L28" s="68"/>
      <c r="M28" s="71">
        <f t="shared" ref="M28:M37" si="2">SUM(B28+C28+D28+E28+F28+G28-H28-I28-J28-K28-L28)</f>
        <v>0</v>
      </c>
    </row>
    <row r="29" spans="1:13" x14ac:dyDescent="0.3">
      <c r="A29" s="1" t="s">
        <v>31</v>
      </c>
      <c r="B29" s="68">
        <f>[1]JUL!M41</f>
        <v>0</v>
      </c>
      <c r="C29" s="68"/>
      <c r="D29" s="68"/>
      <c r="E29" s="68"/>
      <c r="F29" s="68"/>
      <c r="G29" s="69"/>
      <c r="H29" s="70"/>
      <c r="I29" s="68"/>
      <c r="J29" s="68"/>
      <c r="K29" s="68"/>
      <c r="L29" s="68"/>
      <c r="M29" s="71">
        <f t="shared" si="2"/>
        <v>0</v>
      </c>
    </row>
    <row r="30" spans="1:13" x14ac:dyDescent="0.3">
      <c r="A30" s="1" t="s">
        <v>32</v>
      </c>
      <c r="B30" s="68">
        <f>[1]JUL!M42</f>
        <v>0</v>
      </c>
      <c r="C30" s="68"/>
      <c r="D30" s="68"/>
      <c r="E30" s="68"/>
      <c r="F30" s="68"/>
      <c r="G30" s="69"/>
      <c r="H30" s="70"/>
      <c r="I30" s="68"/>
      <c r="J30" s="68"/>
      <c r="K30" s="68"/>
      <c r="L30" s="68"/>
      <c r="M30" s="71">
        <f t="shared" si="2"/>
        <v>0</v>
      </c>
    </row>
    <row r="31" spans="1:13" x14ac:dyDescent="0.3">
      <c r="A31" s="1" t="s">
        <v>33</v>
      </c>
      <c r="B31" s="68">
        <f>[1]JUL!M43</f>
        <v>2</v>
      </c>
      <c r="C31" s="68"/>
      <c r="D31" s="68"/>
      <c r="E31" s="68"/>
      <c r="F31" s="68"/>
      <c r="G31" s="69"/>
      <c r="H31" s="70"/>
      <c r="I31" s="68"/>
      <c r="J31" s="68"/>
      <c r="K31" s="68"/>
      <c r="L31" s="68"/>
      <c r="M31" s="71">
        <f t="shared" si="2"/>
        <v>2</v>
      </c>
    </row>
    <row r="32" spans="1:13" x14ac:dyDescent="0.3">
      <c r="A32" s="1" t="s">
        <v>34</v>
      </c>
      <c r="B32" s="68">
        <f>[1]JUL!M44</f>
        <v>0</v>
      </c>
      <c r="C32" s="68"/>
      <c r="D32" s="68"/>
      <c r="E32" s="68"/>
      <c r="F32" s="68"/>
      <c r="G32" s="69"/>
      <c r="H32" s="70"/>
      <c r="I32" s="68"/>
      <c r="J32" s="68"/>
      <c r="K32" s="68"/>
      <c r="L32" s="68"/>
      <c r="M32" s="71">
        <f t="shared" si="2"/>
        <v>0</v>
      </c>
    </row>
    <row r="33" spans="1:13" x14ac:dyDescent="0.3">
      <c r="A33" s="1" t="s">
        <v>35</v>
      </c>
      <c r="B33" s="68">
        <f>[1]JUL!M45</f>
        <v>0</v>
      </c>
      <c r="C33" s="68"/>
      <c r="D33" s="68"/>
      <c r="E33" s="68"/>
      <c r="F33" s="68"/>
      <c r="G33" s="69"/>
      <c r="H33" s="70"/>
      <c r="I33" s="68"/>
      <c r="J33" s="68"/>
      <c r="K33" s="68"/>
      <c r="L33" s="68"/>
      <c r="M33" s="71">
        <f t="shared" si="2"/>
        <v>0</v>
      </c>
    </row>
    <row r="34" spans="1:13" x14ac:dyDescent="0.3">
      <c r="A34" s="1" t="s">
        <v>36</v>
      </c>
      <c r="B34" s="68">
        <f>[1]JUL!M46</f>
        <v>0</v>
      </c>
      <c r="C34" s="68"/>
      <c r="D34" s="68"/>
      <c r="E34" s="68"/>
      <c r="F34" s="68"/>
      <c r="G34" s="69"/>
      <c r="H34" s="70"/>
      <c r="I34" s="68"/>
      <c r="J34" s="68"/>
      <c r="K34" s="68"/>
      <c r="L34" s="68"/>
      <c r="M34" s="71">
        <f t="shared" si="2"/>
        <v>0</v>
      </c>
    </row>
    <row r="35" spans="1:13" x14ac:dyDescent="0.3">
      <c r="A35" s="1" t="s">
        <v>37</v>
      </c>
      <c r="B35" s="68">
        <f>[1]JUL!M47</f>
        <v>0</v>
      </c>
      <c r="C35" s="68"/>
      <c r="D35" s="68"/>
      <c r="E35" s="68"/>
      <c r="F35" s="68"/>
      <c r="G35" s="69"/>
      <c r="H35" s="70"/>
      <c r="I35" s="68"/>
      <c r="J35" s="68"/>
      <c r="K35" s="68"/>
      <c r="L35" s="68"/>
      <c r="M35" s="71">
        <f t="shared" si="2"/>
        <v>0</v>
      </c>
    </row>
    <row r="36" spans="1:13" x14ac:dyDescent="0.3">
      <c r="A36" s="1" t="s">
        <v>38</v>
      </c>
      <c r="B36" s="68">
        <f>[1]JUL!M48</f>
        <v>0</v>
      </c>
      <c r="C36" s="68"/>
      <c r="D36" s="68"/>
      <c r="E36" s="68"/>
      <c r="F36" s="68"/>
      <c r="G36" s="69"/>
      <c r="H36" s="70"/>
      <c r="I36" s="68"/>
      <c r="J36" s="68"/>
      <c r="K36" s="68"/>
      <c r="L36" s="68"/>
      <c r="M36" s="71">
        <f t="shared" si="2"/>
        <v>0</v>
      </c>
    </row>
    <row r="37" spans="1:13" ht="15" thickBot="1" x14ac:dyDescent="0.35">
      <c r="A37" s="1" t="s">
        <v>39</v>
      </c>
      <c r="B37" s="2">
        <f>[1]JUL!M49</f>
        <v>0</v>
      </c>
      <c r="C37" s="68"/>
      <c r="D37" s="68"/>
      <c r="E37" s="68"/>
      <c r="F37" s="68"/>
      <c r="G37" s="69"/>
      <c r="H37" s="70"/>
      <c r="I37" s="68"/>
      <c r="J37" s="68"/>
      <c r="K37" s="68"/>
      <c r="L37" s="68"/>
      <c r="M37" s="71">
        <f t="shared" si="2"/>
        <v>0</v>
      </c>
    </row>
    <row r="38" spans="1:13" ht="15.6" thickTop="1" thickBot="1" x14ac:dyDescent="0.35">
      <c r="A38" s="60" t="s">
        <v>27</v>
      </c>
      <c r="B38" s="60">
        <f t="shared" ref="B38:M38" si="3">SUM(B27:B37)</f>
        <v>2</v>
      </c>
      <c r="C38" s="60">
        <f t="shared" si="3"/>
        <v>0</v>
      </c>
      <c r="D38" s="60">
        <f t="shared" si="3"/>
        <v>0</v>
      </c>
      <c r="E38" s="60">
        <f t="shared" si="3"/>
        <v>0</v>
      </c>
      <c r="F38" s="60">
        <f t="shared" si="3"/>
        <v>0</v>
      </c>
      <c r="G38" s="61">
        <f t="shared" si="3"/>
        <v>0</v>
      </c>
      <c r="H38" s="62">
        <f t="shared" si="3"/>
        <v>0</v>
      </c>
      <c r="I38" s="60">
        <f t="shared" si="3"/>
        <v>0</v>
      </c>
      <c r="J38" s="60">
        <f t="shared" si="3"/>
        <v>0</v>
      </c>
      <c r="K38" s="60">
        <f t="shared" si="3"/>
        <v>0</v>
      </c>
      <c r="L38" s="60">
        <f t="shared" si="3"/>
        <v>0</v>
      </c>
      <c r="M38" s="60">
        <f t="shared" si="3"/>
        <v>2</v>
      </c>
    </row>
    <row r="39" spans="1:13" ht="15" thickTop="1" x14ac:dyDescent="0.3"/>
    <row r="40" spans="1:13" ht="20.399999999999999" x14ac:dyDescent="0.35">
      <c r="A40" s="112" t="s">
        <v>40</v>
      </c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</row>
    <row r="41" spans="1:13" ht="15.6" x14ac:dyDescent="0.3">
      <c r="A41" s="114" t="s">
        <v>2</v>
      </c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</row>
    <row r="42" spans="1:13" ht="15" thickBot="1" x14ac:dyDescent="0.35"/>
    <row r="43" spans="1:13" ht="21.6" thickTop="1" thickBot="1" x14ac:dyDescent="0.35">
      <c r="A43" s="115" t="s">
        <v>3</v>
      </c>
      <c r="B43" s="115" t="s">
        <v>4</v>
      </c>
      <c r="C43" s="116" t="s">
        <v>5</v>
      </c>
      <c r="D43" s="117"/>
      <c r="E43" s="117"/>
      <c r="F43" s="117"/>
      <c r="G43" s="118"/>
      <c r="H43" s="119" t="s">
        <v>6</v>
      </c>
      <c r="I43" s="117"/>
      <c r="J43" s="117"/>
      <c r="K43" s="117"/>
      <c r="L43" s="120"/>
      <c r="M43" s="115" t="s">
        <v>7</v>
      </c>
    </row>
    <row r="44" spans="1:13" ht="15.45" customHeight="1" thickTop="1" thickBot="1" x14ac:dyDescent="0.35">
      <c r="A44" s="121"/>
      <c r="B44" s="121"/>
      <c r="C44" s="122" t="s">
        <v>8</v>
      </c>
      <c r="D44" s="122" t="s">
        <v>9</v>
      </c>
      <c r="E44" s="122" t="s">
        <v>10</v>
      </c>
      <c r="F44" s="122" t="s">
        <v>11</v>
      </c>
      <c r="G44" s="123" t="s">
        <v>12</v>
      </c>
      <c r="H44" s="124" t="s">
        <v>13</v>
      </c>
      <c r="I44" s="122" t="s">
        <v>9</v>
      </c>
      <c r="J44" s="122" t="s">
        <v>12</v>
      </c>
      <c r="K44" s="122" t="s">
        <v>10</v>
      </c>
      <c r="L44" s="122" t="s">
        <v>14</v>
      </c>
      <c r="M44" s="121"/>
    </row>
    <row r="45" spans="1:13" ht="15" thickTop="1" x14ac:dyDescent="0.3">
      <c r="A45" s="54" t="s">
        <v>15</v>
      </c>
      <c r="B45" s="55">
        <v>6</v>
      </c>
      <c r="C45" s="56"/>
      <c r="D45" s="56">
        <f>I48+I49</f>
        <v>2</v>
      </c>
      <c r="E45" s="56"/>
      <c r="F45" s="56"/>
      <c r="G45" s="57"/>
      <c r="H45" s="58"/>
      <c r="I45" s="125">
        <v>5</v>
      </c>
      <c r="J45" s="56"/>
      <c r="K45" s="56"/>
      <c r="L45" s="56"/>
      <c r="M45" s="59">
        <f>SUM(B45+C45+D45+E45+F45+G45-H45-I45-J45-K45-L45)</f>
        <v>3</v>
      </c>
    </row>
    <row r="46" spans="1:13" x14ac:dyDescent="0.3">
      <c r="A46" s="1" t="s">
        <v>16</v>
      </c>
      <c r="B46" s="68">
        <v>3</v>
      </c>
      <c r="C46" s="68"/>
      <c r="D46" s="68"/>
      <c r="E46" s="68"/>
      <c r="F46" s="68"/>
      <c r="G46" s="69"/>
      <c r="H46" s="70"/>
      <c r="I46" s="68">
        <v>3</v>
      </c>
      <c r="J46" s="68"/>
      <c r="K46" s="68"/>
      <c r="L46" s="68"/>
      <c r="M46" s="71">
        <f t="shared" ref="M46:M56" si="4">SUM(B46+C46+D46+E46+F46+G46-H46-I46-J46-K46-L46)</f>
        <v>0</v>
      </c>
    </row>
    <row r="47" spans="1:13" x14ac:dyDescent="0.3">
      <c r="A47" s="1" t="s">
        <v>17</v>
      </c>
      <c r="B47" s="68">
        <v>3</v>
      </c>
      <c r="C47" s="68">
        <v>2</v>
      </c>
      <c r="D47" s="68"/>
      <c r="E47" s="68"/>
      <c r="F47" s="68"/>
      <c r="G47" s="69"/>
      <c r="H47" s="70"/>
      <c r="I47" s="68">
        <v>2</v>
      </c>
      <c r="J47" s="68"/>
      <c r="K47" s="68"/>
      <c r="L47" s="68"/>
      <c r="M47" s="71">
        <f t="shared" si="4"/>
        <v>3</v>
      </c>
    </row>
    <row r="48" spans="1:13" x14ac:dyDescent="0.3">
      <c r="A48" s="1" t="s">
        <v>18</v>
      </c>
      <c r="B48" s="68">
        <v>4</v>
      </c>
      <c r="C48" s="68"/>
      <c r="D48" s="68">
        <f>I45</f>
        <v>5</v>
      </c>
      <c r="E48" s="68"/>
      <c r="F48" s="68"/>
      <c r="G48" s="69"/>
      <c r="H48" s="70"/>
      <c r="I48" s="68">
        <v>1</v>
      </c>
      <c r="J48" s="68"/>
      <c r="K48" s="68"/>
      <c r="L48" s="68"/>
      <c r="M48" s="71">
        <f t="shared" si="4"/>
        <v>8</v>
      </c>
    </row>
    <row r="49" spans="1:13" x14ac:dyDescent="0.3">
      <c r="A49" s="1" t="s">
        <v>19</v>
      </c>
      <c r="B49" s="68">
        <v>40</v>
      </c>
      <c r="C49" s="68"/>
      <c r="D49" s="68">
        <v>4</v>
      </c>
      <c r="E49" s="68"/>
      <c r="F49" s="68"/>
      <c r="G49" s="69"/>
      <c r="H49" s="70"/>
      <c r="I49" s="68">
        <v>1</v>
      </c>
      <c r="J49" s="68"/>
      <c r="K49" s="68"/>
      <c r="L49" s="68"/>
      <c r="M49" s="71">
        <f t="shared" si="4"/>
        <v>43</v>
      </c>
    </row>
    <row r="50" spans="1:13" x14ac:dyDescent="0.3">
      <c r="A50" s="1" t="s">
        <v>20</v>
      </c>
      <c r="B50" s="68">
        <v>0</v>
      </c>
      <c r="C50" s="68"/>
      <c r="D50" s="68"/>
      <c r="E50" s="68"/>
      <c r="F50" s="68"/>
      <c r="G50" s="69"/>
      <c r="H50" s="70"/>
      <c r="I50" s="68"/>
      <c r="J50" s="68"/>
      <c r="K50" s="68"/>
      <c r="L50" s="68"/>
      <c r="M50" s="71">
        <f t="shared" si="4"/>
        <v>0</v>
      </c>
    </row>
    <row r="51" spans="1:13" x14ac:dyDescent="0.3">
      <c r="A51" s="1" t="s">
        <v>21</v>
      </c>
      <c r="B51" s="68">
        <v>0</v>
      </c>
      <c r="C51" s="68"/>
      <c r="D51" s="68"/>
      <c r="E51" s="68"/>
      <c r="F51" s="68"/>
      <c r="G51" s="69"/>
      <c r="H51" s="70"/>
      <c r="I51" s="68"/>
      <c r="J51" s="68"/>
      <c r="K51" s="68"/>
      <c r="L51" s="68"/>
      <c r="M51" s="71">
        <f t="shared" si="4"/>
        <v>0</v>
      </c>
    </row>
    <row r="52" spans="1:13" x14ac:dyDescent="0.3">
      <c r="A52" s="1" t="s">
        <v>22</v>
      </c>
      <c r="B52" s="68">
        <v>21</v>
      </c>
      <c r="C52" s="68"/>
      <c r="D52" s="68">
        <v>2</v>
      </c>
      <c r="E52" s="68"/>
      <c r="F52" s="68"/>
      <c r="G52" s="69"/>
      <c r="H52" s="70">
        <v>9</v>
      </c>
      <c r="I52" s="68">
        <v>4</v>
      </c>
      <c r="J52" s="68"/>
      <c r="K52" s="68"/>
      <c r="L52" s="68"/>
      <c r="M52" s="71">
        <f t="shared" si="4"/>
        <v>10</v>
      </c>
    </row>
    <row r="53" spans="1:13" x14ac:dyDescent="0.3">
      <c r="A53" s="1" t="s">
        <v>23</v>
      </c>
      <c r="B53" s="68">
        <v>0</v>
      </c>
      <c r="C53" s="68"/>
      <c r="D53" s="68"/>
      <c r="E53" s="68"/>
      <c r="F53" s="68"/>
      <c r="G53" s="69"/>
      <c r="H53" s="70"/>
      <c r="I53" s="68"/>
      <c r="J53" s="68"/>
      <c r="K53" s="68"/>
      <c r="L53" s="68"/>
      <c r="M53" s="71">
        <f t="shared" si="4"/>
        <v>0</v>
      </c>
    </row>
    <row r="54" spans="1:13" x14ac:dyDescent="0.3">
      <c r="A54" s="1" t="s">
        <v>24</v>
      </c>
      <c r="B54" s="68">
        <v>16</v>
      </c>
      <c r="C54" s="68"/>
      <c r="D54" s="68">
        <v>3</v>
      </c>
      <c r="E54" s="68">
        <v>11</v>
      </c>
      <c r="F54" s="68"/>
      <c r="G54" s="69"/>
      <c r="H54" s="70"/>
      <c r="I54" s="68"/>
      <c r="J54" s="68"/>
      <c r="K54" s="68"/>
      <c r="L54" s="68"/>
      <c r="M54" s="71">
        <f t="shared" si="4"/>
        <v>30</v>
      </c>
    </row>
    <row r="55" spans="1:13" x14ac:dyDescent="0.3">
      <c r="A55" s="1" t="s">
        <v>25</v>
      </c>
      <c r="B55" s="68">
        <v>0</v>
      </c>
      <c r="C55" s="68"/>
      <c r="D55" s="68"/>
      <c r="E55" s="68"/>
      <c r="F55" s="68"/>
      <c r="G55" s="69"/>
      <c r="H55" s="70"/>
      <c r="I55" s="68"/>
      <c r="J55" s="68"/>
      <c r="K55" s="68"/>
      <c r="L55" s="68"/>
      <c r="M55" s="71">
        <f t="shared" si="4"/>
        <v>0</v>
      </c>
    </row>
    <row r="56" spans="1:13" ht="15" thickBot="1" x14ac:dyDescent="0.35">
      <c r="A56" s="126" t="s">
        <v>26</v>
      </c>
      <c r="B56" s="2">
        <v>0</v>
      </c>
      <c r="C56" s="127"/>
      <c r="D56" s="127"/>
      <c r="E56" s="127"/>
      <c r="F56" s="127"/>
      <c r="G56" s="128"/>
      <c r="H56" s="129"/>
      <c r="I56" s="127"/>
      <c r="J56" s="127"/>
      <c r="K56" s="127"/>
      <c r="L56" s="127"/>
      <c r="M56" s="130">
        <f t="shared" si="4"/>
        <v>0</v>
      </c>
    </row>
    <row r="57" spans="1:13" ht="15.6" thickTop="1" thickBot="1" x14ac:dyDescent="0.35">
      <c r="A57" s="60" t="s">
        <v>27</v>
      </c>
      <c r="B57" s="60">
        <f t="shared" ref="B57:M57" si="5">SUM(B45:B56)</f>
        <v>93</v>
      </c>
      <c r="C57" s="60">
        <f t="shared" si="5"/>
        <v>2</v>
      </c>
      <c r="D57" s="60">
        <f t="shared" si="5"/>
        <v>16</v>
      </c>
      <c r="E57" s="60">
        <f t="shared" si="5"/>
        <v>11</v>
      </c>
      <c r="F57" s="60">
        <f t="shared" si="5"/>
        <v>0</v>
      </c>
      <c r="G57" s="61">
        <f t="shared" si="5"/>
        <v>0</v>
      </c>
      <c r="H57" s="62">
        <f t="shared" si="5"/>
        <v>9</v>
      </c>
      <c r="I57" s="60">
        <f t="shared" si="5"/>
        <v>16</v>
      </c>
      <c r="J57" s="60">
        <f t="shared" si="5"/>
        <v>0</v>
      </c>
      <c r="K57" s="60">
        <f t="shared" si="5"/>
        <v>0</v>
      </c>
      <c r="L57" s="60">
        <f t="shared" si="5"/>
        <v>0</v>
      </c>
      <c r="M57" s="60">
        <f t="shared" si="5"/>
        <v>97</v>
      </c>
    </row>
    <row r="58" spans="1:13" ht="15" thickTop="1" x14ac:dyDescent="0.3"/>
    <row r="59" spans="1:13" ht="22.8" x14ac:dyDescent="0.4">
      <c r="A59" s="47" t="s">
        <v>28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</row>
    <row r="60" spans="1:13" ht="20.399999999999999" x14ac:dyDescent="0.35">
      <c r="A60" s="48" t="s">
        <v>40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</row>
    <row r="61" spans="1:13" ht="15.6" x14ac:dyDescent="0.3">
      <c r="A61" s="114" t="s">
        <v>2</v>
      </c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</row>
    <row r="62" spans="1:13" ht="15" thickBot="1" x14ac:dyDescent="0.35"/>
    <row r="63" spans="1:13" ht="21.6" thickTop="1" thickBot="1" x14ac:dyDescent="0.35">
      <c r="A63" s="49" t="s">
        <v>3</v>
      </c>
      <c r="B63" s="50" t="s">
        <v>4</v>
      </c>
      <c r="C63" s="63" t="s">
        <v>5</v>
      </c>
      <c r="D63" s="63"/>
      <c r="E63" s="63"/>
      <c r="F63" s="63"/>
      <c r="G63" s="64"/>
      <c r="H63" s="65" t="s">
        <v>6</v>
      </c>
      <c r="I63" s="63"/>
      <c r="J63" s="63"/>
      <c r="K63" s="63"/>
      <c r="L63" s="63"/>
      <c r="M63" s="50" t="s">
        <v>7</v>
      </c>
    </row>
    <row r="64" spans="1:13" ht="15.6" thickTop="1" thickBot="1" x14ac:dyDescent="0.35">
      <c r="A64" s="66"/>
      <c r="B64" s="67"/>
      <c r="C64" s="51" t="s">
        <v>8</v>
      </c>
      <c r="D64" s="51" t="s">
        <v>9</v>
      </c>
      <c r="E64" s="51" t="s">
        <v>10</v>
      </c>
      <c r="F64" s="51" t="s">
        <v>11</v>
      </c>
      <c r="G64" s="52" t="s">
        <v>12</v>
      </c>
      <c r="H64" s="53" t="s">
        <v>13</v>
      </c>
      <c r="I64" s="51" t="s">
        <v>9</v>
      </c>
      <c r="J64" s="51" t="s">
        <v>12</v>
      </c>
      <c r="K64" s="51" t="s">
        <v>10</v>
      </c>
      <c r="L64" s="51" t="s">
        <v>14</v>
      </c>
      <c r="M64" s="67"/>
    </row>
    <row r="65" spans="1:13" ht="15" thickTop="1" x14ac:dyDescent="0.3">
      <c r="A65" s="54" t="s">
        <v>29</v>
      </c>
      <c r="B65" s="55">
        <f>[2]JUL!M78</f>
        <v>0</v>
      </c>
      <c r="C65" s="56"/>
      <c r="D65" s="56"/>
      <c r="E65" s="56"/>
      <c r="F65" s="56"/>
      <c r="G65" s="57"/>
      <c r="H65" s="58"/>
      <c r="I65" s="56"/>
      <c r="J65" s="56"/>
      <c r="K65" s="56"/>
      <c r="L65" s="56"/>
      <c r="M65" s="59">
        <f>SUM(B65+C65+D65+E65+F65+G65-H65-I65-J65-K65-L65)</f>
        <v>0</v>
      </c>
    </row>
    <row r="66" spans="1:13" x14ac:dyDescent="0.3">
      <c r="A66" s="1" t="s">
        <v>30</v>
      </c>
      <c r="B66" s="68">
        <f>[2]JUL!M79</f>
        <v>0</v>
      </c>
      <c r="C66" s="68"/>
      <c r="D66" s="68"/>
      <c r="E66" s="68"/>
      <c r="F66" s="68"/>
      <c r="G66" s="69"/>
      <c r="H66" s="70"/>
      <c r="I66" s="68"/>
      <c r="J66" s="68"/>
      <c r="K66" s="68"/>
      <c r="L66" s="68"/>
      <c r="M66" s="71">
        <f t="shared" ref="M66:M75" si="6">SUM(B66+C66+D66+E66+F66+G66-H66-I66-J66-K66-L66)</f>
        <v>0</v>
      </c>
    </row>
    <row r="67" spans="1:13" x14ac:dyDescent="0.3">
      <c r="A67" s="1" t="s">
        <v>31</v>
      </c>
      <c r="B67" s="68">
        <f>[2]JUL!M80</f>
        <v>0</v>
      </c>
      <c r="C67" s="68"/>
      <c r="D67" s="68"/>
      <c r="E67" s="68"/>
      <c r="F67" s="68"/>
      <c r="G67" s="69"/>
      <c r="H67" s="70"/>
      <c r="I67" s="68"/>
      <c r="J67" s="68"/>
      <c r="K67" s="68"/>
      <c r="L67" s="68"/>
      <c r="M67" s="71">
        <f t="shared" si="6"/>
        <v>0</v>
      </c>
    </row>
    <row r="68" spans="1:13" x14ac:dyDescent="0.3">
      <c r="A68" s="1" t="s">
        <v>32</v>
      </c>
      <c r="B68" s="68">
        <f>[2]JUL!M81</f>
        <v>0</v>
      </c>
      <c r="C68" s="68"/>
      <c r="D68" s="68"/>
      <c r="E68" s="68"/>
      <c r="F68" s="68"/>
      <c r="G68" s="69"/>
      <c r="H68" s="70"/>
      <c r="I68" s="68"/>
      <c r="J68" s="68"/>
      <c r="K68" s="68"/>
      <c r="L68" s="68"/>
      <c r="M68" s="71">
        <f t="shared" si="6"/>
        <v>0</v>
      </c>
    </row>
    <row r="69" spans="1:13" x14ac:dyDescent="0.3">
      <c r="A69" s="1" t="s">
        <v>33</v>
      </c>
      <c r="B69" s="68">
        <v>1</v>
      </c>
      <c r="C69" s="68"/>
      <c r="D69" s="68"/>
      <c r="E69" s="68"/>
      <c r="F69" s="68"/>
      <c r="G69" s="69"/>
      <c r="H69" s="70"/>
      <c r="I69" s="68"/>
      <c r="J69" s="68"/>
      <c r="K69" s="68"/>
      <c r="L69" s="68"/>
      <c r="M69" s="71">
        <f t="shared" si="6"/>
        <v>1</v>
      </c>
    </row>
    <row r="70" spans="1:13" x14ac:dyDescent="0.3">
      <c r="A70" s="1" t="s">
        <v>34</v>
      </c>
      <c r="B70" s="68">
        <v>1</v>
      </c>
      <c r="C70" s="68"/>
      <c r="D70" s="68"/>
      <c r="E70" s="68"/>
      <c r="F70" s="68"/>
      <c r="G70" s="69"/>
      <c r="H70" s="70"/>
      <c r="I70" s="68"/>
      <c r="J70" s="68"/>
      <c r="K70" s="68"/>
      <c r="L70" s="68"/>
      <c r="M70" s="71">
        <f t="shared" si="6"/>
        <v>1</v>
      </c>
    </row>
    <row r="71" spans="1:13" x14ac:dyDescent="0.3">
      <c r="A71" s="1" t="s">
        <v>35</v>
      </c>
      <c r="B71" s="68">
        <f>[2]JUL!M84</f>
        <v>0</v>
      </c>
      <c r="C71" s="68"/>
      <c r="D71" s="68"/>
      <c r="E71" s="68"/>
      <c r="F71" s="68"/>
      <c r="G71" s="69"/>
      <c r="H71" s="70"/>
      <c r="I71" s="68"/>
      <c r="J71" s="68"/>
      <c r="K71" s="68"/>
      <c r="L71" s="68"/>
      <c r="M71" s="71">
        <f t="shared" si="6"/>
        <v>0</v>
      </c>
    </row>
    <row r="72" spans="1:13" x14ac:dyDescent="0.3">
      <c r="A72" s="1" t="s">
        <v>36</v>
      </c>
      <c r="B72" s="68">
        <f>[2]JUL!M85</f>
        <v>0</v>
      </c>
      <c r="C72" s="68"/>
      <c r="D72" s="68"/>
      <c r="E72" s="68"/>
      <c r="F72" s="68"/>
      <c r="G72" s="69"/>
      <c r="H72" s="70"/>
      <c r="I72" s="68"/>
      <c r="J72" s="68"/>
      <c r="K72" s="68"/>
      <c r="L72" s="68"/>
      <c r="M72" s="71">
        <f t="shared" si="6"/>
        <v>0</v>
      </c>
    </row>
    <row r="73" spans="1:13" x14ac:dyDescent="0.3">
      <c r="A73" s="1" t="s">
        <v>37</v>
      </c>
      <c r="B73" s="68">
        <f>[2]JUL!M86</f>
        <v>0</v>
      </c>
      <c r="C73" s="68"/>
      <c r="D73" s="68"/>
      <c r="E73" s="68"/>
      <c r="F73" s="68"/>
      <c r="G73" s="69"/>
      <c r="H73" s="70"/>
      <c r="I73" s="68"/>
      <c r="J73" s="68"/>
      <c r="K73" s="68"/>
      <c r="L73" s="68"/>
      <c r="M73" s="71">
        <f t="shared" si="6"/>
        <v>0</v>
      </c>
    </row>
    <row r="74" spans="1:13" x14ac:dyDescent="0.3">
      <c r="A74" s="1" t="s">
        <v>38</v>
      </c>
      <c r="B74" s="68">
        <f>[2]JUL!M87</f>
        <v>0</v>
      </c>
      <c r="C74" s="68"/>
      <c r="D74" s="68"/>
      <c r="E74" s="68"/>
      <c r="F74" s="68"/>
      <c r="G74" s="69"/>
      <c r="H74" s="70"/>
      <c r="I74" s="68"/>
      <c r="J74" s="68"/>
      <c r="K74" s="68"/>
      <c r="L74" s="68"/>
      <c r="M74" s="71">
        <f t="shared" si="6"/>
        <v>0</v>
      </c>
    </row>
    <row r="75" spans="1:13" ht="15" thickBot="1" x14ac:dyDescent="0.35">
      <c r="A75" s="1" t="s">
        <v>39</v>
      </c>
      <c r="B75" s="2">
        <f>[2]JUL!M88</f>
        <v>0</v>
      </c>
      <c r="C75" s="68"/>
      <c r="D75" s="68"/>
      <c r="E75" s="68"/>
      <c r="F75" s="68"/>
      <c r="G75" s="69"/>
      <c r="H75" s="70"/>
      <c r="I75" s="68"/>
      <c r="J75" s="68"/>
      <c r="K75" s="68"/>
      <c r="L75" s="68"/>
      <c r="M75" s="71">
        <f t="shared" si="6"/>
        <v>0</v>
      </c>
    </row>
    <row r="76" spans="1:13" ht="15.6" thickTop="1" thickBot="1" x14ac:dyDescent="0.35">
      <c r="A76" s="60" t="s">
        <v>27</v>
      </c>
      <c r="B76" s="60">
        <f t="shared" ref="B76:M76" si="7">SUM(B65:B75)</f>
        <v>2</v>
      </c>
      <c r="C76" s="60">
        <f t="shared" si="7"/>
        <v>0</v>
      </c>
      <c r="D76" s="60">
        <f t="shared" si="7"/>
        <v>0</v>
      </c>
      <c r="E76" s="60">
        <f t="shared" si="7"/>
        <v>0</v>
      </c>
      <c r="F76" s="60">
        <f t="shared" si="7"/>
        <v>0</v>
      </c>
      <c r="G76" s="61">
        <f t="shared" si="7"/>
        <v>0</v>
      </c>
      <c r="H76" s="62">
        <f t="shared" si="7"/>
        <v>0</v>
      </c>
      <c r="I76" s="60">
        <f t="shared" si="7"/>
        <v>0</v>
      </c>
      <c r="J76" s="60">
        <f t="shared" si="7"/>
        <v>0</v>
      </c>
      <c r="K76" s="60">
        <f t="shared" si="7"/>
        <v>0</v>
      </c>
      <c r="L76" s="60">
        <f t="shared" si="7"/>
        <v>0</v>
      </c>
      <c r="M76" s="60">
        <f t="shared" si="7"/>
        <v>2</v>
      </c>
    </row>
    <row r="77" spans="1:13" ht="15" thickTop="1" x14ac:dyDescent="0.3"/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0014-E7CA-46F3-8D0B-34B71CBAFC56}">
  <dimension ref="A1:K26"/>
  <sheetViews>
    <sheetView tabSelected="1" workbookViewId="0"/>
  </sheetViews>
  <sheetFormatPr defaultRowHeight="14.4" x14ac:dyDescent="0.3"/>
  <cols>
    <col min="1" max="2" width="11.5546875" customWidth="1"/>
    <col min="3" max="3" width="12.77734375" customWidth="1"/>
    <col min="4" max="256" width="11.5546875" customWidth="1"/>
  </cols>
  <sheetData>
    <row r="1" spans="1:7" ht="15.6" x14ac:dyDescent="0.3">
      <c r="A1" s="3" t="s">
        <v>41</v>
      </c>
      <c r="B1" s="3"/>
      <c r="C1" s="3"/>
      <c r="D1" s="3"/>
      <c r="E1" s="3"/>
      <c r="F1" s="3"/>
      <c r="G1" s="3"/>
    </row>
    <row r="2" spans="1:7" ht="15.6" x14ac:dyDescent="0.3">
      <c r="A2" s="3" t="s">
        <v>42</v>
      </c>
      <c r="B2" s="3"/>
      <c r="C2" s="3"/>
      <c r="D2" s="3"/>
      <c r="E2" s="3"/>
      <c r="F2" s="3"/>
      <c r="G2" s="3"/>
    </row>
    <row r="3" spans="1:7" ht="15.6" x14ac:dyDescent="0.3">
      <c r="A3" s="4"/>
      <c r="B3" s="4"/>
      <c r="C3" s="4"/>
      <c r="D3" s="4"/>
      <c r="E3" s="4"/>
      <c r="F3" s="4"/>
    </row>
    <row r="4" spans="1:7" ht="30" x14ac:dyDescent="0.3">
      <c r="A4" s="5" t="s">
        <v>43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48</v>
      </c>
      <c r="G4" s="5" t="s">
        <v>49</v>
      </c>
    </row>
    <row r="5" spans="1:7" ht="15.6" x14ac:dyDescent="0.3">
      <c r="A5" s="106" t="s">
        <v>50</v>
      </c>
      <c r="B5" s="107" t="s">
        <v>35</v>
      </c>
      <c r="C5" s="108">
        <v>46037</v>
      </c>
      <c r="D5" s="106" t="s">
        <v>51</v>
      </c>
      <c r="E5" s="106" t="s">
        <v>52</v>
      </c>
      <c r="F5" s="109">
        <v>28</v>
      </c>
      <c r="G5" s="109" t="s">
        <v>53</v>
      </c>
    </row>
    <row r="6" spans="1:7" ht="15.6" x14ac:dyDescent="0.3">
      <c r="A6" s="106" t="s">
        <v>54</v>
      </c>
      <c r="B6" s="107" t="s">
        <v>35</v>
      </c>
      <c r="C6" s="108">
        <v>46041</v>
      </c>
      <c r="D6" s="106" t="s">
        <v>55</v>
      </c>
      <c r="E6" s="106" t="s">
        <v>52</v>
      </c>
      <c r="F6" s="109">
        <v>28</v>
      </c>
      <c r="G6" s="109" t="s">
        <v>53</v>
      </c>
    </row>
    <row r="7" spans="1:7" ht="15.6" x14ac:dyDescent="0.3">
      <c r="A7" s="106" t="s">
        <v>56</v>
      </c>
      <c r="B7" s="107" t="s">
        <v>35</v>
      </c>
      <c r="C7" s="108">
        <v>46041</v>
      </c>
      <c r="D7" s="106" t="s">
        <v>57</v>
      </c>
      <c r="E7" s="106" t="s">
        <v>52</v>
      </c>
      <c r="F7" s="109">
        <v>29</v>
      </c>
      <c r="G7" s="109" t="s">
        <v>53</v>
      </c>
    </row>
    <row r="8" spans="1:7" ht="15.6" x14ac:dyDescent="0.3">
      <c r="A8" s="106" t="s">
        <v>58</v>
      </c>
      <c r="B8" s="107" t="s">
        <v>35</v>
      </c>
      <c r="C8" s="108">
        <v>46049</v>
      </c>
      <c r="D8" s="106" t="s">
        <v>59</v>
      </c>
      <c r="E8" s="106" t="s">
        <v>60</v>
      </c>
      <c r="F8" s="109">
        <v>27</v>
      </c>
      <c r="G8" s="109" t="s">
        <v>53</v>
      </c>
    </row>
    <row r="9" spans="1:7" ht="15.6" x14ac:dyDescent="0.3">
      <c r="A9" s="106" t="s">
        <v>61</v>
      </c>
      <c r="B9" s="107" t="s">
        <v>62</v>
      </c>
      <c r="C9" s="108">
        <v>46026</v>
      </c>
      <c r="D9" s="106" t="s">
        <v>63</v>
      </c>
      <c r="E9" s="106" t="s">
        <v>52</v>
      </c>
      <c r="F9" s="109">
        <v>28</v>
      </c>
      <c r="G9" s="109" t="s">
        <v>53</v>
      </c>
    </row>
    <row r="10" spans="1:7" ht="15.6" x14ac:dyDescent="0.3">
      <c r="A10" s="106" t="s">
        <v>64</v>
      </c>
      <c r="B10" s="107" t="s">
        <v>62</v>
      </c>
      <c r="C10" s="108">
        <v>46037</v>
      </c>
      <c r="D10" s="106" t="s">
        <v>65</v>
      </c>
      <c r="E10" s="106" t="s">
        <v>52</v>
      </c>
      <c r="F10" s="109">
        <v>28</v>
      </c>
      <c r="G10" s="109" t="s">
        <v>53</v>
      </c>
    </row>
    <row r="11" spans="1:7" x14ac:dyDescent="0.3">
      <c r="A11" s="72"/>
      <c r="B11" s="72"/>
      <c r="C11" s="73"/>
      <c r="D11" s="72"/>
      <c r="E11" s="72"/>
      <c r="F11" s="104"/>
      <c r="G11" s="72"/>
    </row>
    <row r="12" spans="1:7" ht="15.6" x14ac:dyDescent="0.3">
      <c r="A12" s="6" t="s">
        <v>66</v>
      </c>
      <c r="B12" s="7">
        <v>6</v>
      </c>
    </row>
    <row r="13" spans="1:7" ht="15.6" x14ac:dyDescent="0.3">
      <c r="A13" s="6" t="s">
        <v>67</v>
      </c>
      <c r="B13" s="7">
        <v>4</v>
      </c>
    </row>
    <row r="14" spans="1:7" ht="15.6" x14ac:dyDescent="0.3">
      <c r="A14" s="6" t="s">
        <v>68</v>
      </c>
      <c r="B14" s="7">
        <v>2</v>
      </c>
    </row>
    <row r="17" spans="1:11" ht="15.6" x14ac:dyDescent="0.3">
      <c r="A17" s="76" t="s">
        <v>41</v>
      </c>
      <c r="B17" s="76"/>
      <c r="C17" s="76"/>
      <c r="D17" s="76"/>
      <c r="E17" s="76"/>
      <c r="F17" s="76"/>
      <c r="G17" s="76"/>
      <c r="H17" s="77"/>
      <c r="I17" s="77"/>
      <c r="J17" s="77"/>
      <c r="K17" s="77"/>
    </row>
    <row r="18" spans="1:11" ht="15.6" x14ac:dyDescent="0.3">
      <c r="A18" s="76" t="s">
        <v>69</v>
      </c>
      <c r="B18" s="76"/>
      <c r="C18" s="76"/>
      <c r="D18" s="76"/>
      <c r="E18" s="76"/>
      <c r="F18" s="76"/>
      <c r="G18" s="76"/>
      <c r="H18" s="77"/>
      <c r="I18" s="77"/>
      <c r="J18" s="77"/>
      <c r="K18" s="77"/>
    </row>
    <row r="20" spans="1:11" ht="30" x14ac:dyDescent="0.3">
      <c r="A20" s="5" t="s">
        <v>43</v>
      </c>
      <c r="B20" s="5" t="s">
        <v>44</v>
      </c>
      <c r="C20" s="5" t="s">
        <v>45</v>
      </c>
      <c r="D20" s="5" t="s">
        <v>46</v>
      </c>
      <c r="E20" s="5" t="s">
        <v>47</v>
      </c>
      <c r="F20" s="5" t="s">
        <v>48</v>
      </c>
      <c r="G20" s="5" t="s">
        <v>49</v>
      </c>
    </row>
    <row r="21" spans="1:11" ht="15.6" x14ac:dyDescent="0.3">
      <c r="A21" s="107" t="s">
        <v>70</v>
      </c>
      <c r="B21" s="107" t="s">
        <v>62</v>
      </c>
      <c r="C21" s="110">
        <v>46034</v>
      </c>
      <c r="D21" s="107" t="s">
        <v>71</v>
      </c>
      <c r="E21" s="107" t="s">
        <v>72</v>
      </c>
      <c r="F21" s="109">
        <v>28</v>
      </c>
      <c r="G21" s="107" t="s">
        <v>53</v>
      </c>
    </row>
    <row r="22" spans="1:11" ht="15.6" x14ac:dyDescent="0.3">
      <c r="A22" s="107" t="s">
        <v>73</v>
      </c>
      <c r="B22" s="107" t="s">
        <v>62</v>
      </c>
      <c r="C22" s="110">
        <v>46043</v>
      </c>
      <c r="D22" s="107" t="s">
        <v>74</v>
      </c>
      <c r="E22" s="107" t="s">
        <v>75</v>
      </c>
      <c r="F22" s="109">
        <v>28</v>
      </c>
      <c r="G22" s="107" t="s">
        <v>53</v>
      </c>
    </row>
    <row r="23" spans="1:11" x14ac:dyDescent="0.3">
      <c r="F23" s="105"/>
    </row>
    <row r="24" spans="1:11" ht="15.6" x14ac:dyDescent="0.3">
      <c r="A24" s="6" t="s">
        <v>66</v>
      </c>
      <c r="B24" s="7">
        <v>2</v>
      </c>
    </row>
    <row r="25" spans="1:11" ht="15.6" x14ac:dyDescent="0.3">
      <c r="A25" s="6" t="s">
        <v>67</v>
      </c>
      <c r="B25" s="7">
        <v>0</v>
      </c>
    </row>
    <row r="26" spans="1:11" ht="15.6" x14ac:dyDescent="0.3">
      <c r="A26" s="6" t="s">
        <v>68</v>
      </c>
      <c r="B26" s="7">
        <v>2</v>
      </c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EA79-D6AB-4828-93D5-42564C1F874E}">
  <dimension ref="A1:K32"/>
  <sheetViews>
    <sheetView topLeftCell="A16" workbookViewId="0">
      <selection activeCell="A34" sqref="A34"/>
    </sheetView>
  </sheetViews>
  <sheetFormatPr defaultRowHeight="14.4" x14ac:dyDescent="0.3"/>
  <cols>
    <col min="1" max="1" width="11.5546875" customWidth="1"/>
    <col min="2" max="2" width="8.77734375" customWidth="1"/>
    <col min="3" max="3" width="9.88671875" customWidth="1"/>
    <col min="4" max="4" width="11.5546875" customWidth="1"/>
    <col min="5" max="5" width="8.21875" customWidth="1"/>
    <col min="6" max="7" width="11.5546875" customWidth="1"/>
    <col min="8" max="8" width="8.21875" customWidth="1"/>
    <col min="9" max="256" width="11.5546875" customWidth="1"/>
  </cols>
  <sheetData>
    <row r="1" spans="1:11" ht="15.6" x14ac:dyDescent="0.3">
      <c r="A1" s="9" t="s">
        <v>41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5.6" x14ac:dyDescent="0.3">
      <c r="A2" s="9" t="s">
        <v>76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5.6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30" x14ac:dyDescent="0.3">
      <c r="A4" s="11" t="s">
        <v>77</v>
      </c>
      <c r="B4" s="11" t="s">
        <v>78</v>
      </c>
      <c r="C4" s="11" t="s">
        <v>79</v>
      </c>
      <c r="D4" s="11" t="s">
        <v>80</v>
      </c>
      <c r="E4" s="11" t="s">
        <v>81</v>
      </c>
      <c r="F4" s="11" t="s">
        <v>82</v>
      </c>
      <c r="G4" s="11" t="s">
        <v>83</v>
      </c>
      <c r="H4" s="11" t="s">
        <v>84</v>
      </c>
      <c r="I4" s="11" t="s">
        <v>85</v>
      </c>
      <c r="J4" s="11" t="s">
        <v>86</v>
      </c>
      <c r="K4" s="11" t="s">
        <v>87</v>
      </c>
    </row>
    <row r="5" spans="1:11" ht="15.6" x14ac:dyDescent="0.3">
      <c r="A5" s="106" t="s">
        <v>88</v>
      </c>
      <c r="B5" s="107" t="s">
        <v>35</v>
      </c>
      <c r="C5" s="108">
        <v>45795</v>
      </c>
      <c r="D5" s="108">
        <v>46046</v>
      </c>
      <c r="E5" s="109">
        <v>251</v>
      </c>
      <c r="F5" s="106" t="s">
        <v>89</v>
      </c>
      <c r="G5" s="106" t="s">
        <v>75</v>
      </c>
      <c r="H5" s="109">
        <v>28</v>
      </c>
      <c r="I5" s="109">
        <v>243</v>
      </c>
      <c r="J5" s="109">
        <v>233.58</v>
      </c>
      <c r="K5" s="109">
        <v>856.57</v>
      </c>
    </row>
    <row r="6" spans="1:11" ht="15.6" x14ac:dyDescent="0.3">
      <c r="A6" s="106" t="s">
        <v>90</v>
      </c>
      <c r="B6" s="107" t="s">
        <v>35</v>
      </c>
      <c r="C6" s="108">
        <v>45795</v>
      </c>
      <c r="D6" s="108">
        <v>46046</v>
      </c>
      <c r="E6" s="109">
        <v>251</v>
      </c>
      <c r="F6" s="106" t="s">
        <v>91</v>
      </c>
      <c r="G6" s="106" t="s">
        <v>75</v>
      </c>
      <c r="H6" s="109">
        <v>29</v>
      </c>
      <c r="I6" s="109">
        <v>224</v>
      </c>
      <c r="J6" s="109">
        <v>215.45</v>
      </c>
      <c r="K6" s="109">
        <v>776.89</v>
      </c>
    </row>
    <row r="7" spans="1:11" ht="15.6" x14ac:dyDescent="0.3">
      <c r="A7" s="106" t="s">
        <v>92</v>
      </c>
      <c r="B7" s="107" t="s">
        <v>35</v>
      </c>
      <c r="C7" s="108">
        <v>45797</v>
      </c>
      <c r="D7" s="108">
        <v>46046</v>
      </c>
      <c r="E7" s="109">
        <v>249</v>
      </c>
      <c r="F7" s="106" t="s">
        <v>93</v>
      </c>
      <c r="G7" s="106" t="s">
        <v>60</v>
      </c>
      <c r="H7" s="109">
        <v>30</v>
      </c>
      <c r="I7" s="109">
        <v>203</v>
      </c>
      <c r="J7" s="109">
        <v>196.75</v>
      </c>
      <c r="K7" s="109">
        <v>694.78</v>
      </c>
    </row>
    <row r="8" spans="1:11" ht="15.6" x14ac:dyDescent="0.3">
      <c r="A8" s="106" t="s">
        <v>94</v>
      </c>
      <c r="B8" s="107" t="s">
        <v>35</v>
      </c>
      <c r="C8" s="108">
        <v>45797</v>
      </c>
      <c r="D8" s="108">
        <v>46046</v>
      </c>
      <c r="E8" s="109">
        <v>249</v>
      </c>
      <c r="F8" s="106" t="s">
        <v>95</v>
      </c>
      <c r="G8" s="106" t="s">
        <v>60</v>
      </c>
      <c r="H8" s="109">
        <v>30</v>
      </c>
      <c r="I8" s="109">
        <v>248</v>
      </c>
      <c r="J8" s="109">
        <v>240.12</v>
      </c>
      <c r="K8" s="109">
        <v>875.5</v>
      </c>
    </row>
    <row r="9" spans="1:11" ht="15.6" x14ac:dyDescent="0.3">
      <c r="A9" s="106" t="s">
        <v>96</v>
      </c>
      <c r="B9" s="107" t="s">
        <v>35</v>
      </c>
      <c r="C9" s="108">
        <v>45798</v>
      </c>
      <c r="D9" s="108">
        <v>46046</v>
      </c>
      <c r="E9" s="109">
        <v>248</v>
      </c>
      <c r="F9" s="106" t="s">
        <v>97</v>
      </c>
      <c r="G9" s="106" t="s">
        <v>75</v>
      </c>
      <c r="H9" s="109">
        <v>29</v>
      </c>
      <c r="I9" s="109">
        <v>222</v>
      </c>
      <c r="J9" s="109">
        <v>215.77</v>
      </c>
      <c r="K9" s="109">
        <v>778.23</v>
      </c>
    </row>
    <row r="10" spans="1:11" ht="15.6" x14ac:dyDescent="0.3">
      <c r="A10" s="106" t="s">
        <v>98</v>
      </c>
      <c r="B10" s="107" t="s">
        <v>35</v>
      </c>
      <c r="C10" s="108">
        <v>45799</v>
      </c>
      <c r="D10" s="108">
        <v>46046</v>
      </c>
      <c r="E10" s="109">
        <v>247</v>
      </c>
      <c r="F10" s="106" t="s">
        <v>99</v>
      </c>
      <c r="G10" s="106" t="s">
        <v>100</v>
      </c>
      <c r="H10" s="109">
        <v>28</v>
      </c>
      <c r="I10" s="109">
        <v>230</v>
      </c>
      <c r="J10" s="109">
        <v>224.28</v>
      </c>
      <c r="K10" s="109">
        <v>817.81</v>
      </c>
    </row>
    <row r="11" spans="1:11" ht="15.6" x14ac:dyDescent="0.3">
      <c r="A11" s="106" t="s">
        <v>101</v>
      </c>
      <c r="B11" s="107" t="s">
        <v>35</v>
      </c>
      <c r="C11" s="108">
        <v>45801</v>
      </c>
      <c r="D11" s="108">
        <v>46050</v>
      </c>
      <c r="E11" s="109">
        <v>249</v>
      </c>
      <c r="F11" s="106" t="s">
        <v>102</v>
      </c>
      <c r="G11" s="106" t="s">
        <v>75</v>
      </c>
      <c r="H11" s="109">
        <v>28</v>
      </c>
      <c r="I11" s="109">
        <v>267</v>
      </c>
      <c r="J11" s="109">
        <v>258.36</v>
      </c>
      <c r="K11" s="109">
        <v>959.84</v>
      </c>
    </row>
    <row r="12" spans="1:11" ht="15.6" x14ac:dyDescent="0.3">
      <c r="A12" s="106" t="s">
        <v>103</v>
      </c>
      <c r="B12" s="107" t="s">
        <v>62</v>
      </c>
      <c r="C12" s="108">
        <v>45792</v>
      </c>
      <c r="D12" s="108">
        <v>46050</v>
      </c>
      <c r="E12" s="109">
        <v>258</v>
      </c>
      <c r="F12" s="106" t="s">
        <v>104</v>
      </c>
      <c r="G12" s="106" t="s">
        <v>105</v>
      </c>
      <c r="H12" s="109">
        <v>28</v>
      </c>
      <c r="I12" s="109">
        <v>214</v>
      </c>
      <c r="J12" s="109">
        <v>201.02</v>
      </c>
      <c r="K12" s="109">
        <v>720.93</v>
      </c>
    </row>
    <row r="13" spans="1:11" ht="15.6" x14ac:dyDescent="0.3">
      <c r="A13" s="106" t="s">
        <v>106</v>
      </c>
      <c r="B13" s="107" t="s">
        <v>62</v>
      </c>
      <c r="C13" s="108">
        <v>45810</v>
      </c>
      <c r="D13" s="108">
        <v>46050</v>
      </c>
      <c r="E13" s="109">
        <v>240</v>
      </c>
      <c r="F13" s="106" t="s">
        <v>107</v>
      </c>
      <c r="G13" s="106" t="s">
        <v>75</v>
      </c>
      <c r="H13" s="109">
        <v>28</v>
      </c>
      <c r="I13" s="109">
        <v>210</v>
      </c>
      <c r="J13" s="109">
        <v>210</v>
      </c>
      <c r="K13" s="109">
        <v>758.33</v>
      </c>
    </row>
    <row r="16" spans="1:11" ht="15.6" x14ac:dyDescent="0.3">
      <c r="A16" s="6" t="s">
        <v>66</v>
      </c>
      <c r="B16" s="7">
        <v>9</v>
      </c>
    </row>
    <row r="17" spans="1:11" ht="15.6" x14ac:dyDescent="0.3">
      <c r="A17" s="6" t="s">
        <v>67</v>
      </c>
      <c r="B17" s="7">
        <v>7</v>
      </c>
    </row>
    <row r="18" spans="1:11" ht="15.6" x14ac:dyDescent="0.3">
      <c r="A18" s="6" t="s">
        <v>68</v>
      </c>
      <c r="B18" s="7">
        <v>2</v>
      </c>
    </row>
    <row r="20" spans="1:11" ht="15.6" x14ac:dyDescent="0.3">
      <c r="A20" s="76" t="s">
        <v>41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</row>
    <row r="21" spans="1:11" ht="15.6" x14ac:dyDescent="0.3">
      <c r="A21" s="76" t="s">
        <v>108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</row>
    <row r="23" spans="1:11" ht="30" x14ac:dyDescent="0.3">
      <c r="A23" s="11" t="s">
        <v>77</v>
      </c>
      <c r="B23" s="11" t="s">
        <v>78</v>
      </c>
      <c r="C23" s="11" t="s">
        <v>79</v>
      </c>
      <c r="D23" s="11" t="s">
        <v>80</v>
      </c>
      <c r="E23" s="11" t="s">
        <v>81</v>
      </c>
      <c r="F23" s="11" t="s">
        <v>82</v>
      </c>
      <c r="G23" s="11" t="s">
        <v>83</v>
      </c>
      <c r="H23" s="11" t="s">
        <v>84</v>
      </c>
      <c r="I23" s="11" t="s">
        <v>85</v>
      </c>
      <c r="J23" s="11" t="s">
        <v>86</v>
      </c>
      <c r="K23" s="11" t="s">
        <v>87</v>
      </c>
    </row>
    <row r="24" spans="1:11" ht="15.6" x14ac:dyDescent="0.3">
      <c r="A24" s="106" t="s">
        <v>109</v>
      </c>
      <c r="B24" s="107" t="s">
        <v>35</v>
      </c>
      <c r="C24" s="108">
        <v>45805</v>
      </c>
      <c r="D24" s="108">
        <v>46044</v>
      </c>
      <c r="E24" s="109">
        <v>239</v>
      </c>
      <c r="F24" s="106" t="s">
        <v>110</v>
      </c>
      <c r="G24" s="106" t="s">
        <v>105</v>
      </c>
      <c r="H24" s="109">
        <v>28</v>
      </c>
      <c r="I24" s="109">
        <v>187</v>
      </c>
      <c r="J24" s="109">
        <v>187.67</v>
      </c>
      <c r="K24" s="109">
        <v>665.27</v>
      </c>
    </row>
    <row r="25" spans="1:11" ht="15.6" x14ac:dyDescent="0.3">
      <c r="A25" s="106" t="s">
        <v>111</v>
      </c>
      <c r="B25" s="107" t="s">
        <v>35</v>
      </c>
      <c r="C25" s="108">
        <v>45805</v>
      </c>
      <c r="D25" s="108">
        <v>46044</v>
      </c>
      <c r="E25" s="109">
        <v>239</v>
      </c>
      <c r="F25" s="106" t="s">
        <v>112</v>
      </c>
      <c r="G25" s="106" t="s">
        <v>100</v>
      </c>
      <c r="H25" s="109">
        <v>29</v>
      </c>
      <c r="I25" s="109">
        <v>197</v>
      </c>
      <c r="J25" s="109">
        <v>197.7</v>
      </c>
      <c r="K25" s="109">
        <v>702.93</v>
      </c>
    </row>
    <row r="26" spans="1:11" ht="15.6" x14ac:dyDescent="0.3">
      <c r="A26" s="106" t="s">
        <v>113</v>
      </c>
      <c r="B26" s="107" t="s">
        <v>35</v>
      </c>
      <c r="C26" s="108">
        <v>45806</v>
      </c>
      <c r="D26" s="108">
        <v>46044</v>
      </c>
      <c r="E26" s="109">
        <v>238</v>
      </c>
      <c r="F26" s="106" t="s">
        <v>114</v>
      </c>
      <c r="G26" s="106" t="s">
        <v>75</v>
      </c>
      <c r="H26" s="109">
        <v>28</v>
      </c>
      <c r="I26" s="109">
        <v>168</v>
      </c>
      <c r="J26" s="109">
        <v>169.18</v>
      </c>
      <c r="K26" s="109">
        <v>588.24</v>
      </c>
    </row>
    <row r="27" spans="1:11" ht="15.6" x14ac:dyDescent="0.3">
      <c r="A27" s="106" t="s">
        <v>115</v>
      </c>
      <c r="B27" s="107" t="s">
        <v>62</v>
      </c>
      <c r="C27" s="108">
        <v>45792</v>
      </c>
      <c r="D27" s="108">
        <v>46051</v>
      </c>
      <c r="E27" s="109">
        <v>259</v>
      </c>
      <c r="F27" s="106" t="s">
        <v>116</v>
      </c>
      <c r="G27" s="106" t="s">
        <v>75</v>
      </c>
      <c r="H27" s="109">
        <v>28</v>
      </c>
      <c r="I27" s="109">
        <v>149</v>
      </c>
      <c r="J27" s="109">
        <v>140.12</v>
      </c>
      <c r="K27" s="109">
        <v>467.18</v>
      </c>
    </row>
    <row r="28" spans="1:11" ht="15.6" x14ac:dyDescent="0.3">
      <c r="A28" s="106" t="s">
        <v>117</v>
      </c>
      <c r="B28" s="107" t="s">
        <v>62</v>
      </c>
      <c r="C28" s="108">
        <v>45801</v>
      </c>
      <c r="D28" s="108">
        <v>46051</v>
      </c>
      <c r="E28" s="109">
        <v>250</v>
      </c>
      <c r="F28" s="106" t="s">
        <v>118</v>
      </c>
      <c r="G28" s="106" t="s">
        <v>100</v>
      </c>
      <c r="H28" s="109">
        <v>28</v>
      </c>
      <c r="I28" s="109">
        <v>183</v>
      </c>
      <c r="J28" s="109">
        <v>176.8</v>
      </c>
      <c r="K28" s="109">
        <v>620</v>
      </c>
    </row>
    <row r="30" spans="1:11" ht="15.6" x14ac:dyDescent="0.3">
      <c r="A30" s="6" t="s">
        <v>66</v>
      </c>
      <c r="B30" s="7">
        <v>5</v>
      </c>
    </row>
    <row r="31" spans="1:11" ht="15.6" x14ac:dyDescent="0.3">
      <c r="A31" s="6" t="s">
        <v>67</v>
      </c>
      <c r="B31" s="7">
        <v>3</v>
      </c>
    </row>
    <row r="32" spans="1:11" ht="15.6" x14ac:dyDescent="0.3">
      <c r="A32" s="6" t="s">
        <v>68</v>
      </c>
      <c r="B32" s="7">
        <v>2</v>
      </c>
    </row>
  </sheetData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EE78-580A-4420-9E87-A382D63F2823}">
  <dimension ref="A1:O22"/>
  <sheetViews>
    <sheetView workbookViewId="0">
      <selection activeCell="A2" sqref="A2:G2"/>
    </sheetView>
  </sheetViews>
  <sheetFormatPr defaultRowHeight="14.4" x14ac:dyDescent="0.3"/>
  <cols>
    <col min="1" max="2" width="11.5546875" customWidth="1"/>
    <col min="3" max="3" width="11.109375" customWidth="1"/>
    <col min="4" max="4" width="12.21875" customWidth="1"/>
    <col min="5" max="5" width="11.109375" customWidth="1"/>
    <col min="6" max="6" width="15.6640625" customWidth="1"/>
    <col min="7" max="7" width="11.109375" customWidth="1"/>
    <col min="8" max="256" width="11.5546875" customWidth="1"/>
  </cols>
  <sheetData>
    <row r="1" spans="1:15" ht="15.6" x14ac:dyDescent="0.3">
      <c r="A1" s="9" t="s">
        <v>41</v>
      </c>
      <c r="B1" s="9"/>
      <c r="C1" s="9"/>
      <c r="D1" s="9"/>
      <c r="E1" s="9"/>
      <c r="F1" s="9"/>
      <c r="G1" s="9"/>
    </row>
    <row r="2" spans="1:15" ht="15.6" x14ac:dyDescent="0.3">
      <c r="A2" s="9" t="s">
        <v>119</v>
      </c>
      <c r="B2" s="9"/>
      <c r="C2" s="9"/>
      <c r="D2" s="9"/>
      <c r="E2" s="9"/>
      <c r="F2" s="9"/>
      <c r="G2" s="9"/>
    </row>
    <row r="3" spans="1:15" ht="15.6" x14ac:dyDescent="0.3">
      <c r="A3" s="10"/>
      <c r="B3" s="10"/>
      <c r="C3" s="10"/>
      <c r="D3" s="10"/>
      <c r="E3" s="10"/>
      <c r="F3" s="10"/>
      <c r="G3" s="10"/>
    </row>
    <row r="4" spans="1:15" ht="30" x14ac:dyDescent="0.3">
      <c r="A4" s="11" t="s">
        <v>120</v>
      </c>
      <c r="B4" s="11" t="s">
        <v>121</v>
      </c>
      <c r="C4" s="11" t="s">
        <v>122</v>
      </c>
      <c r="D4" s="11" t="s">
        <v>123</v>
      </c>
      <c r="E4" s="11" t="s">
        <v>124</v>
      </c>
      <c r="F4" s="11" t="s">
        <v>125</v>
      </c>
      <c r="G4" s="11" t="s">
        <v>126</v>
      </c>
    </row>
    <row r="5" spans="1:15" ht="15.6" x14ac:dyDescent="0.3">
      <c r="A5" s="132" t="s">
        <v>127</v>
      </c>
      <c r="B5" s="133" t="s">
        <v>62</v>
      </c>
      <c r="C5" s="134">
        <v>5.3</v>
      </c>
      <c r="D5" s="140">
        <v>3594800</v>
      </c>
      <c r="E5" s="131">
        <v>473</v>
      </c>
      <c r="F5" s="132" t="s">
        <v>128</v>
      </c>
      <c r="G5" s="135">
        <v>46025</v>
      </c>
    </row>
    <row r="8" spans="1:15" x14ac:dyDescent="0.3">
      <c r="A8" s="136" t="s">
        <v>41</v>
      </c>
      <c r="B8" s="136"/>
      <c r="C8" s="136"/>
      <c r="D8" s="136"/>
      <c r="E8" s="136"/>
      <c r="F8" s="136"/>
      <c r="G8" s="136"/>
      <c r="H8" s="137"/>
      <c r="I8" s="137"/>
      <c r="J8" s="137"/>
      <c r="K8" s="137"/>
      <c r="L8" s="137"/>
      <c r="M8" s="137"/>
      <c r="N8" s="137"/>
      <c r="O8" s="137"/>
    </row>
    <row r="9" spans="1:15" x14ac:dyDescent="0.3">
      <c r="A9" s="136" t="s">
        <v>129</v>
      </c>
      <c r="B9" s="136"/>
      <c r="C9" s="136"/>
      <c r="D9" s="136"/>
      <c r="E9" s="136"/>
      <c r="F9" s="136"/>
      <c r="G9" s="136"/>
      <c r="H9" s="137"/>
      <c r="I9" s="137"/>
      <c r="J9" s="137"/>
      <c r="K9" s="137"/>
      <c r="L9" s="137"/>
      <c r="M9" s="137"/>
      <c r="N9" s="137"/>
      <c r="O9" s="137"/>
    </row>
    <row r="11" spans="1:15" ht="30" x14ac:dyDescent="0.3">
      <c r="A11" s="11" t="s">
        <v>120</v>
      </c>
      <c r="B11" s="11" t="s">
        <v>121</v>
      </c>
      <c r="C11" s="11" t="s">
        <v>122</v>
      </c>
      <c r="D11" s="11" t="s">
        <v>123</v>
      </c>
      <c r="E11" s="11" t="s">
        <v>124</v>
      </c>
      <c r="F11" s="11" t="s">
        <v>125</v>
      </c>
      <c r="G11" s="11" t="s">
        <v>126</v>
      </c>
    </row>
    <row r="12" spans="1:15" ht="15.6" x14ac:dyDescent="0.3">
      <c r="A12" s="106" t="s">
        <v>117</v>
      </c>
      <c r="B12" s="107" t="s">
        <v>62</v>
      </c>
      <c r="C12" s="138">
        <v>0.7</v>
      </c>
      <c r="D12" s="139">
        <v>1689822</v>
      </c>
      <c r="E12" s="109">
        <v>183</v>
      </c>
      <c r="F12" s="106" t="s">
        <v>130</v>
      </c>
      <c r="G12" s="108">
        <v>46051</v>
      </c>
    </row>
    <row r="13" spans="1:15" ht="15.6" x14ac:dyDescent="0.3">
      <c r="A13" s="106" t="s">
        <v>115</v>
      </c>
      <c r="B13" s="107" t="s">
        <v>62</v>
      </c>
      <c r="C13" s="138">
        <v>0.7</v>
      </c>
      <c r="D13" s="139">
        <v>1398812</v>
      </c>
      <c r="E13" s="109">
        <v>149</v>
      </c>
      <c r="F13" s="106" t="s">
        <v>130</v>
      </c>
      <c r="G13" s="108">
        <v>46051</v>
      </c>
    </row>
    <row r="14" spans="1:15" ht="15.6" x14ac:dyDescent="0.3">
      <c r="A14" s="106" t="s">
        <v>131</v>
      </c>
      <c r="B14" s="107" t="s">
        <v>62</v>
      </c>
      <c r="C14" s="138">
        <v>0.8</v>
      </c>
      <c r="D14" s="139">
        <v>1426976</v>
      </c>
      <c r="E14" s="109">
        <v>152</v>
      </c>
      <c r="F14" s="106" t="s">
        <v>130</v>
      </c>
      <c r="G14" s="108">
        <v>46051</v>
      </c>
    </row>
    <row r="15" spans="1:15" ht="15.6" x14ac:dyDescent="0.3">
      <c r="A15" s="106" t="s">
        <v>132</v>
      </c>
      <c r="B15" s="107" t="s">
        <v>62</v>
      </c>
      <c r="C15" s="138">
        <v>1.2</v>
      </c>
      <c r="D15" s="139">
        <v>1173500</v>
      </c>
      <c r="E15" s="109">
        <v>125</v>
      </c>
      <c r="F15" s="106" t="s">
        <v>130</v>
      </c>
      <c r="G15" s="108">
        <v>46051</v>
      </c>
    </row>
    <row r="16" spans="1:15" ht="15.6" x14ac:dyDescent="0.3">
      <c r="A16" s="106" t="s">
        <v>133</v>
      </c>
      <c r="B16" s="107" t="s">
        <v>62</v>
      </c>
      <c r="C16" s="138">
        <v>1.2</v>
      </c>
      <c r="D16" s="139">
        <v>2188458</v>
      </c>
      <c r="E16" s="109">
        <v>237</v>
      </c>
      <c r="F16" s="106" t="s">
        <v>130</v>
      </c>
      <c r="G16" s="108">
        <v>46051</v>
      </c>
    </row>
    <row r="17" spans="1:7" ht="15.6" x14ac:dyDescent="0.3">
      <c r="A17" s="106" t="s">
        <v>134</v>
      </c>
      <c r="B17" s="107" t="s">
        <v>62</v>
      </c>
      <c r="C17" s="138">
        <v>1.3</v>
      </c>
      <c r="D17" s="139">
        <v>1680452</v>
      </c>
      <c r="E17" s="109">
        <v>179</v>
      </c>
      <c r="F17" s="106" t="s">
        <v>130</v>
      </c>
      <c r="G17" s="108">
        <v>46051</v>
      </c>
    </row>
    <row r="18" spans="1:7" ht="15.6" x14ac:dyDescent="0.3">
      <c r="A18" s="106" t="s">
        <v>135</v>
      </c>
      <c r="B18" s="107" t="s">
        <v>62</v>
      </c>
      <c r="C18" s="138">
        <v>1.3</v>
      </c>
      <c r="D18" s="139">
        <v>2133054</v>
      </c>
      <c r="E18" s="109">
        <v>231</v>
      </c>
      <c r="F18" s="106" t="s">
        <v>130</v>
      </c>
      <c r="G18" s="108">
        <v>46051</v>
      </c>
    </row>
    <row r="19" spans="1:7" ht="15.6" x14ac:dyDescent="0.3">
      <c r="A19" s="106" t="s">
        <v>136</v>
      </c>
      <c r="B19" s="107" t="s">
        <v>62</v>
      </c>
      <c r="C19" s="138">
        <v>1.5</v>
      </c>
      <c r="D19" s="139">
        <v>2013012</v>
      </c>
      <c r="E19" s="109">
        <v>218</v>
      </c>
      <c r="F19" s="106" t="s">
        <v>130</v>
      </c>
      <c r="G19" s="108">
        <v>46051</v>
      </c>
    </row>
    <row r="20" spans="1:7" ht="15.6" x14ac:dyDescent="0.3">
      <c r="A20" s="106" t="s">
        <v>137</v>
      </c>
      <c r="B20" s="107" t="s">
        <v>62</v>
      </c>
      <c r="C20" s="138">
        <v>1.5</v>
      </c>
      <c r="D20" s="139">
        <v>1625184</v>
      </c>
      <c r="E20" s="109">
        <v>176</v>
      </c>
      <c r="F20" s="106" t="s">
        <v>130</v>
      </c>
      <c r="G20" s="108">
        <v>46051</v>
      </c>
    </row>
    <row r="22" spans="1:7" ht="15.6" x14ac:dyDescent="0.3">
      <c r="D22" s="141">
        <f>SUM(D12:D21)</f>
        <v>15329270</v>
      </c>
    </row>
  </sheetData>
  <pageMargins left="0.7" right="0.7" top="0.75" bottom="0.75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54D9-E976-44B1-A201-FC6B8BE0D0DB}">
  <dimension ref="A1:G5"/>
  <sheetViews>
    <sheetView workbookViewId="0">
      <selection activeCell="F17" sqref="F17"/>
    </sheetView>
  </sheetViews>
  <sheetFormatPr defaultRowHeight="14.4" x14ac:dyDescent="0.3"/>
  <cols>
    <col min="1" max="2" width="11.5546875" customWidth="1"/>
    <col min="3" max="3" width="13.6640625" customWidth="1"/>
    <col min="4" max="4" width="12.6640625" customWidth="1"/>
    <col min="5" max="5" width="11.5546875" customWidth="1"/>
    <col min="6" max="6" width="33.21875" customWidth="1"/>
    <col min="7" max="256" width="11.5546875" customWidth="1"/>
  </cols>
  <sheetData>
    <row r="1" spans="1:7" ht="15.6" x14ac:dyDescent="0.3">
      <c r="A1" s="9" t="s">
        <v>41</v>
      </c>
      <c r="B1" s="9"/>
      <c r="C1" s="9"/>
      <c r="D1" s="9"/>
      <c r="E1" s="9"/>
      <c r="F1" s="9"/>
      <c r="G1" s="10"/>
    </row>
    <row r="2" spans="1:7" ht="15.6" x14ac:dyDescent="0.3">
      <c r="A2" s="9" t="s">
        <v>138</v>
      </c>
      <c r="B2" s="9"/>
      <c r="C2" s="9"/>
      <c r="D2" s="9"/>
      <c r="E2" s="9"/>
      <c r="F2" s="9"/>
      <c r="G2" s="9"/>
    </row>
    <row r="3" spans="1:7" ht="15.6" x14ac:dyDescent="0.3">
      <c r="A3" s="10"/>
      <c r="B3" s="10"/>
      <c r="C3" s="10"/>
      <c r="D3" s="10"/>
      <c r="E3" s="10"/>
      <c r="F3" s="10"/>
      <c r="G3" s="10"/>
    </row>
    <row r="4" spans="1:7" ht="31.05" customHeight="1" x14ac:dyDescent="0.3">
      <c r="A4" s="11" t="s">
        <v>139</v>
      </c>
      <c r="B4" s="11" t="s">
        <v>140</v>
      </c>
      <c r="C4" s="11" t="s">
        <v>141</v>
      </c>
      <c r="D4" s="11" t="s">
        <v>142</v>
      </c>
      <c r="E4" s="11" t="s">
        <v>143</v>
      </c>
      <c r="F4" s="11" t="s">
        <v>144</v>
      </c>
      <c r="G4" s="10"/>
    </row>
    <row r="5" spans="1:7" ht="15.6" x14ac:dyDescent="0.3">
      <c r="A5" s="135">
        <v>46024</v>
      </c>
      <c r="B5" s="142" t="s">
        <v>145</v>
      </c>
      <c r="C5" s="132" t="s">
        <v>146</v>
      </c>
      <c r="D5" s="132" t="s">
        <v>147</v>
      </c>
      <c r="E5" s="131">
        <v>170</v>
      </c>
      <c r="F5" s="132" t="s">
        <v>148</v>
      </c>
      <c r="G5" s="10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919A-7ABF-4C12-993C-28469AB04BBF}">
  <dimension ref="A1:J107"/>
  <sheetViews>
    <sheetView topLeftCell="A84" workbookViewId="0">
      <selection activeCell="A84" sqref="A84"/>
    </sheetView>
  </sheetViews>
  <sheetFormatPr defaultRowHeight="14.4" x14ac:dyDescent="0.3"/>
  <cols>
    <col min="1" max="1" width="13.77734375" customWidth="1"/>
    <col min="2" max="2" width="9.33203125" customWidth="1"/>
    <col min="3" max="5" width="11.5546875" customWidth="1"/>
    <col min="6" max="6" width="11.88671875" customWidth="1"/>
    <col min="7" max="7" width="11.5546875" customWidth="1"/>
    <col min="8" max="8" width="12.21875" customWidth="1"/>
    <col min="9" max="9" width="14.77734375" customWidth="1"/>
    <col min="10" max="256" width="11.5546875" customWidth="1"/>
  </cols>
  <sheetData>
    <row r="1" spans="1:10" ht="15.6" x14ac:dyDescent="0.3">
      <c r="A1" s="9" t="s">
        <v>41</v>
      </c>
      <c r="B1" s="9"/>
      <c r="C1" s="9"/>
      <c r="D1" s="9"/>
      <c r="E1" s="9"/>
      <c r="F1" s="9"/>
      <c r="G1" s="9"/>
      <c r="H1" s="9"/>
      <c r="I1" s="9"/>
      <c r="J1" s="9"/>
    </row>
    <row r="2" spans="1:10" ht="15.6" x14ac:dyDescent="0.3">
      <c r="A2" s="76" t="s">
        <v>149</v>
      </c>
      <c r="B2" s="76"/>
      <c r="C2" s="76"/>
      <c r="D2" s="76"/>
      <c r="E2" s="76"/>
      <c r="F2" s="76"/>
      <c r="G2" s="76"/>
      <c r="H2" s="76"/>
      <c r="I2" s="76"/>
      <c r="J2" s="76"/>
    </row>
    <row r="3" spans="1:10" ht="15.6" x14ac:dyDescent="0.3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ht="45" x14ac:dyDescent="0.3">
      <c r="A4" s="11" t="s">
        <v>150</v>
      </c>
      <c r="B4" s="11" t="s">
        <v>151</v>
      </c>
      <c r="C4" s="11" t="s">
        <v>152</v>
      </c>
      <c r="D4" s="11" t="s">
        <v>153</v>
      </c>
      <c r="E4" s="11" t="s">
        <v>154</v>
      </c>
      <c r="F4" s="11" t="s">
        <v>155</v>
      </c>
      <c r="G4" s="11" t="s">
        <v>156</v>
      </c>
      <c r="H4" s="11" t="s">
        <v>157</v>
      </c>
      <c r="I4" s="11" t="s">
        <v>158</v>
      </c>
      <c r="J4" s="11" t="s">
        <v>159</v>
      </c>
    </row>
    <row r="5" spans="1:10" ht="15.6" x14ac:dyDescent="0.3">
      <c r="A5" s="107" t="s">
        <v>160</v>
      </c>
      <c r="B5" s="138">
        <v>72.2</v>
      </c>
      <c r="C5" s="109">
        <v>490</v>
      </c>
      <c r="D5" s="110">
        <v>46009</v>
      </c>
      <c r="E5" s="109">
        <v>433</v>
      </c>
      <c r="F5" s="109">
        <v>-57</v>
      </c>
      <c r="G5" s="109">
        <v>18</v>
      </c>
      <c r="H5" s="109">
        <v>-3166.67</v>
      </c>
      <c r="I5" s="109">
        <v>184.43</v>
      </c>
      <c r="J5" s="107" t="s">
        <v>161</v>
      </c>
    </row>
    <row r="6" spans="1:10" ht="15.6" x14ac:dyDescent="0.3">
      <c r="A6" s="107" t="s">
        <v>116</v>
      </c>
      <c r="B6" s="138">
        <v>77.8</v>
      </c>
      <c r="C6" s="109">
        <v>416</v>
      </c>
      <c r="D6" s="110">
        <v>45825</v>
      </c>
      <c r="E6" s="109">
        <v>394</v>
      </c>
      <c r="F6" s="109">
        <v>-22</v>
      </c>
      <c r="G6" s="109">
        <v>202</v>
      </c>
      <c r="H6" s="109">
        <v>-108.91</v>
      </c>
      <c r="I6" s="109">
        <v>154.69</v>
      </c>
      <c r="J6" s="107" t="s">
        <v>161</v>
      </c>
    </row>
    <row r="7" spans="1:10" ht="15.6" x14ac:dyDescent="0.3">
      <c r="A7" s="107" t="s">
        <v>162</v>
      </c>
      <c r="B7" s="138">
        <v>108.2</v>
      </c>
      <c r="C7" s="109">
        <v>402</v>
      </c>
      <c r="D7" s="110">
        <v>45818</v>
      </c>
      <c r="E7" s="109">
        <v>506</v>
      </c>
      <c r="F7" s="109">
        <v>104</v>
      </c>
      <c r="G7" s="109">
        <v>209</v>
      </c>
      <c r="H7" s="109">
        <v>497.61</v>
      </c>
      <c r="I7" s="109">
        <v>145.24</v>
      </c>
      <c r="J7" s="107" t="s">
        <v>161</v>
      </c>
    </row>
    <row r="8" spans="1:10" ht="15.6" x14ac:dyDescent="0.3">
      <c r="A8" s="107" t="s">
        <v>114</v>
      </c>
      <c r="B8" s="138">
        <v>56.7</v>
      </c>
      <c r="C8" s="109">
        <v>372</v>
      </c>
      <c r="D8" s="110">
        <v>45825</v>
      </c>
      <c r="E8" s="109">
        <v>370</v>
      </c>
      <c r="F8" s="109">
        <v>-2</v>
      </c>
      <c r="G8" s="109">
        <v>202</v>
      </c>
      <c r="H8" s="109">
        <v>-9.9</v>
      </c>
      <c r="I8" s="109">
        <v>194.32</v>
      </c>
      <c r="J8" s="107" t="s">
        <v>161</v>
      </c>
    </row>
    <row r="9" spans="1:10" ht="15.6" x14ac:dyDescent="0.3">
      <c r="A9" s="107" t="s">
        <v>118</v>
      </c>
      <c r="B9" s="138">
        <v>74.8</v>
      </c>
      <c r="C9" s="109">
        <v>566</v>
      </c>
      <c r="D9" s="110">
        <v>45825</v>
      </c>
      <c r="E9" s="109">
        <v>530</v>
      </c>
      <c r="F9" s="109">
        <v>-36</v>
      </c>
      <c r="G9" s="109">
        <v>202</v>
      </c>
      <c r="H9" s="109">
        <v>-178.22</v>
      </c>
      <c r="I9" s="109">
        <v>220.76</v>
      </c>
      <c r="J9" s="107" t="s">
        <v>161</v>
      </c>
    </row>
    <row r="10" spans="1:10" ht="15.6" x14ac:dyDescent="0.3">
      <c r="A10" s="107" t="s">
        <v>112</v>
      </c>
      <c r="B10" s="138">
        <v>74.8</v>
      </c>
      <c r="C10" s="109">
        <v>462</v>
      </c>
      <c r="D10" s="110">
        <v>45825</v>
      </c>
      <c r="E10" s="109">
        <v>400</v>
      </c>
      <c r="F10" s="109">
        <v>-62</v>
      </c>
      <c r="G10" s="109">
        <v>202</v>
      </c>
      <c r="H10" s="109">
        <v>-306.93</v>
      </c>
      <c r="I10" s="109">
        <v>163.59</v>
      </c>
      <c r="J10" s="107" t="s">
        <v>161</v>
      </c>
    </row>
    <row r="11" spans="1:10" ht="15.6" x14ac:dyDescent="0.3">
      <c r="A11" s="107" t="s">
        <v>163</v>
      </c>
      <c r="B11" s="138">
        <v>76.8</v>
      </c>
      <c r="C11" s="109">
        <v>397</v>
      </c>
      <c r="D11" s="110">
        <v>45818</v>
      </c>
      <c r="E11" s="109">
        <v>510</v>
      </c>
      <c r="F11" s="109">
        <v>113</v>
      </c>
      <c r="G11" s="109">
        <v>209</v>
      </c>
      <c r="H11" s="109">
        <v>540.66999999999996</v>
      </c>
      <c r="I11" s="109">
        <v>206.42</v>
      </c>
      <c r="J11" s="107" t="s">
        <v>161</v>
      </c>
    </row>
    <row r="12" spans="1:10" ht="15.6" x14ac:dyDescent="0.3">
      <c r="A12" s="107" t="s">
        <v>110</v>
      </c>
      <c r="B12" s="138">
        <v>77.2</v>
      </c>
      <c r="C12" s="109">
        <v>359</v>
      </c>
      <c r="D12" s="110">
        <v>45825</v>
      </c>
      <c r="E12" s="109">
        <v>327</v>
      </c>
      <c r="F12" s="109">
        <v>-32</v>
      </c>
      <c r="G12" s="109">
        <v>202</v>
      </c>
      <c r="H12" s="109">
        <v>-158.41999999999999</v>
      </c>
      <c r="I12" s="109">
        <v>127.29</v>
      </c>
      <c r="J12" s="107" t="s">
        <v>161</v>
      </c>
    </row>
    <row r="13" spans="1:10" ht="15.6" x14ac:dyDescent="0.3">
      <c r="A13" s="143"/>
      <c r="B13" s="144"/>
      <c r="C13" s="145"/>
      <c r="D13" s="146"/>
      <c r="E13" s="145"/>
      <c r="F13" s="145"/>
      <c r="G13" s="145"/>
      <c r="H13" s="145"/>
      <c r="I13" s="145"/>
      <c r="J13" s="143"/>
    </row>
    <row r="14" spans="1:10" ht="45" x14ac:dyDescent="0.3">
      <c r="A14" s="11" t="s">
        <v>150</v>
      </c>
      <c r="B14" s="11" t="s">
        <v>151</v>
      </c>
      <c r="C14" s="11" t="s">
        <v>152</v>
      </c>
      <c r="D14" s="11" t="s">
        <v>153</v>
      </c>
      <c r="E14" s="11" t="s">
        <v>154</v>
      </c>
      <c r="F14" s="11" t="s">
        <v>155</v>
      </c>
      <c r="G14" s="11" t="s">
        <v>156</v>
      </c>
      <c r="H14" s="11" t="s">
        <v>157</v>
      </c>
      <c r="I14" s="11" t="s">
        <v>158</v>
      </c>
      <c r="J14" s="11" t="s">
        <v>159</v>
      </c>
    </row>
    <row r="15" spans="1:10" ht="15.6" x14ac:dyDescent="0.3">
      <c r="A15" s="107" t="s">
        <v>71</v>
      </c>
      <c r="B15" s="138">
        <v>33.700000000000003</v>
      </c>
      <c r="C15" s="109">
        <v>380</v>
      </c>
      <c r="D15" s="110">
        <v>45945</v>
      </c>
      <c r="E15" s="109">
        <v>392</v>
      </c>
      <c r="F15" s="109">
        <v>12</v>
      </c>
      <c r="G15" s="109">
        <v>82</v>
      </c>
      <c r="H15" s="109">
        <v>146.34</v>
      </c>
      <c r="I15" s="109">
        <v>355.47</v>
      </c>
      <c r="J15" s="107" t="s">
        <v>15</v>
      </c>
    </row>
    <row r="16" spans="1:10" ht="15.6" x14ac:dyDescent="0.3">
      <c r="A16" s="107" t="s">
        <v>164</v>
      </c>
      <c r="B16" s="138">
        <v>49.4</v>
      </c>
      <c r="C16" s="109">
        <v>380</v>
      </c>
      <c r="D16" s="110">
        <v>45861</v>
      </c>
      <c r="E16" s="109">
        <v>340</v>
      </c>
      <c r="F16" s="109">
        <v>-40</v>
      </c>
      <c r="G16" s="109">
        <v>166</v>
      </c>
      <c r="H16" s="109">
        <v>-240.96</v>
      </c>
      <c r="I16" s="109">
        <v>207.58</v>
      </c>
      <c r="J16" s="107" t="s">
        <v>15</v>
      </c>
    </row>
    <row r="17" spans="1:10" ht="15.6" x14ac:dyDescent="0.3">
      <c r="A17" s="107" t="s">
        <v>74</v>
      </c>
      <c r="B17" s="138">
        <v>76.2</v>
      </c>
      <c r="C17" s="109">
        <v>477</v>
      </c>
      <c r="D17" s="110">
        <v>45992</v>
      </c>
      <c r="E17" s="109">
        <v>498</v>
      </c>
      <c r="F17" s="109">
        <v>21</v>
      </c>
      <c r="G17" s="109">
        <v>35</v>
      </c>
      <c r="H17" s="109">
        <v>600</v>
      </c>
      <c r="I17" s="109">
        <v>202.76</v>
      </c>
      <c r="J17" s="107" t="s">
        <v>15</v>
      </c>
    </row>
    <row r="18" spans="1:10" ht="15.6" x14ac:dyDescent="0.3">
      <c r="A18" s="143"/>
      <c r="B18" s="144"/>
      <c r="C18" s="145"/>
      <c r="D18" s="146"/>
      <c r="E18" s="145"/>
      <c r="F18" s="145"/>
      <c r="G18" s="145"/>
      <c r="H18" s="145"/>
      <c r="I18" s="145"/>
      <c r="J18" s="143"/>
    </row>
    <row r="19" spans="1:10" ht="45" x14ac:dyDescent="0.3">
      <c r="A19" s="11" t="s">
        <v>150</v>
      </c>
      <c r="B19" s="11" t="s">
        <v>151</v>
      </c>
      <c r="C19" s="11" t="s">
        <v>152</v>
      </c>
      <c r="D19" s="11" t="s">
        <v>153</v>
      </c>
      <c r="E19" s="11" t="s">
        <v>154</v>
      </c>
      <c r="F19" s="11" t="s">
        <v>155</v>
      </c>
      <c r="G19" s="11" t="s">
        <v>156</v>
      </c>
      <c r="H19" s="11" t="s">
        <v>157</v>
      </c>
      <c r="I19" s="11" t="s">
        <v>158</v>
      </c>
      <c r="J19" s="11" t="s">
        <v>159</v>
      </c>
    </row>
    <row r="20" spans="1:10" ht="15.6" x14ac:dyDescent="0.3">
      <c r="A20" s="107" t="s">
        <v>165</v>
      </c>
      <c r="B20" s="138">
        <v>1.2</v>
      </c>
      <c r="C20" s="109">
        <v>28</v>
      </c>
      <c r="D20" s="110">
        <v>45992</v>
      </c>
      <c r="E20" s="109">
        <v>41</v>
      </c>
      <c r="F20" s="109">
        <v>13</v>
      </c>
      <c r="G20" s="109">
        <v>35</v>
      </c>
      <c r="H20" s="109">
        <v>371.43</v>
      </c>
      <c r="I20" s="109">
        <v>371.43</v>
      </c>
      <c r="J20" s="107" t="s">
        <v>17</v>
      </c>
    </row>
    <row r="21" spans="1:10" ht="15.6" x14ac:dyDescent="0.3">
      <c r="A21" s="143"/>
      <c r="B21" s="144"/>
      <c r="C21" s="145"/>
      <c r="D21" s="146"/>
      <c r="E21" s="145"/>
      <c r="F21" s="145"/>
      <c r="G21" s="145"/>
      <c r="H21" s="145"/>
      <c r="I21" s="145"/>
      <c r="J21" s="143"/>
    </row>
    <row r="22" spans="1:10" ht="45" x14ac:dyDescent="0.3">
      <c r="A22" s="11" t="s">
        <v>150</v>
      </c>
      <c r="B22" s="11" t="s">
        <v>151</v>
      </c>
      <c r="C22" s="11" t="s">
        <v>152</v>
      </c>
      <c r="D22" s="11" t="s">
        <v>153</v>
      </c>
      <c r="E22" s="11" t="s">
        <v>154</v>
      </c>
      <c r="F22" s="11" t="s">
        <v>155</v>
      </c>
      <c r="G22" s="11" t="s">
        <v>156</v>
      </c>
      <c r="H22" s="11" t="s">
        <v>157</v>
      </c>
      <c r="I22" s="11" t="s">
        <v>158</v>
      </c>
      <c r="J22" s="11" t="s">
        <v>159</v>
      </c>
    </row>
    <row r="23" spans="1:10" ht="15.6" x14ac:dyDescent="0.3">
      <c r="A23" s="107" t="s">
        <v>166</v>
      </c>
      <c r="B23" s="138">
        <v>35.9</v>
      </c>
      <c r="C23" s="109">
        <v>380</v>
      </c>
      <c r="D23" s="110">
        <v>45945</v>
      </c>
      <c r="E23" s="109">
        <v>420</v>
      </c>
      <c r="F23" s="109">
        <v>40</v>
      </c>
      <c r="G23" s="109">
        <v>82</v>
      </c>
      <c r="H23" s="109">
        <v>487.8</v>
      </c>
      <c r="I23" s="109">
        <v>359.3</v>
      </c>
      <c r="J23" s="107" t="s">
        <v>167</v>
      </c>
    </row>
    <row r="24" spans="1:10" ht="15.6" x14ac:dyDescent="0.3">
      <c r="A24" s="107" t="s">
        <v>168</v>
      </c>
      <c r="B24" s="138">
        <v>49.2</v>
      </c>
      <c r="C24" s="109">
        <v>335</v>
      </c>
      <c r="D24" s="110">
        <v>45945</v>
      </c>
      <c r="E24" s="109">
        <v>373</v>
      </c>
      <c r="F24" s="109">
        <v>38</v>
      </c>
      <c r="G24" s="109">
        <v>82</v>
      </c>
      <c r="H24" s="109">
        <v>463.41</v>
      </c>
      <c r="I24" s="109">
        <v>230.61</v>
      </c>
      <c r="J24" s="107" t="s">
        <v>167</v>
      </c>
    </row>
    <row r="25" spans="1:10" ht="15.6" x14ac:dyDescent="0.3">
      <c r="A25" s="107" t="s">
        <v>169</v>
      </c>
      <c r="B25" s="138">
        <v>34.299999999999997</v>
      </c>
      <c r="C25" s="109">
        <v>320</v>
      </c>
      <c r="D25" s="110">
        <v>45945</v>
      </c>
      <c r="E25" s="109">
        <v>364</v>
      </c>
      <c r="F25" s="109">
        <v>44</v>
      </c>
      <c r="G25" s="109">
        <v>82</v>
      </c>
      <c r="H25" s="109">
        <v>536.59</v>
      </c>
      <c r="I25" s="109">
        <v>322.45999999999998</v>
      </c>
      <c r="J25" s="107" t="s">
        <v>167</v>
      </c>
    </row>
    <row r="26" spans="1:10" ht="15.6" x14ac:dyDescent="0.3">
      <c r="A26" s="107" t="s">
        <v>170</v>
      </c>
      <c r="B26" s="138">
        <v>34.5</v>
      </c>
      <c r="C26" s="109">
        <v>247</v>
      </c>
      <c r="D26" s="110">
        <v>45945</v>
      </c>
      <c r="E26" s="109">
        <v>268</v>
      </c>
      <c r="F26" s="109">
        <v>21</v>
      </c>
      <c r="G26" s="109">
        <v>82</v>
      </c>
      <c r="H26" s="109">
        <v>256.10000000000002</v>
      </c>
      <c r="I26" s="109">
        <v>228.57</v>
      </c>
      <c r="J26" s="107" t="s">
        <v>167</v>
      </c>
    </row>
    <row r="27" spans="1:10" ht="15.6" x14ac:dyDescent="0.3">
      <c r="A27" s="107" t="s">
        <v>171</v>
      </c>
      <c r="B27" s="138">
        <v>33.1</v>
      </c>
      <c r="C27" s="109">
        <v>370</v>
      </c>
      <c r="D27" s="110">
        <v>45945</v>
      </c>
      <c r="E27" s="109">
        <v>382</v>
      </c>
      <c r="F27" s="109">
        <v>12</v>
      </c>
      <c r="G27" s="109">
        <v>82</v>
      </c>
      <c r="H27" s="109">
        <v>146.34</v>
      </c>
      <c r="I27" s="109">
        <v>351.54</v>
      </c>
      <c r="J27" s="107" t="s">
        <v>167</v>
      </c>
    </row>
    <row r="28" spans="1:10" ht="15.6" x14ac:dyDescent="0.3">
      <c r="A28" s="107" t="s">
        <v>172</v>
      </c>
      <c r="B28" s="138">
        <v>32.200000000000003</v>
      </c>
      <c r="C28" s="109">
        <v>243</v>
      </c>
      <c r="D28" s="110">
        <v>45945</v>
      </c>
      <c r="E28" s="109">
        <v>244</v>
      </c>
      <c r="F28" s="109">
        <v>1</v>
      </c>
      <c r="G28" s="109">
        <v>82</v>
      </c>
      <c r="H28" s="109">
        <v>12.2</v>
      </c>
      <c r="I28" s="109">
        <v>220.41</v>
      </c>
      <c r="J28" s="107" t="s">
        <v>167</v>
      </c>
    </row>
    <row r="29" spans="1:10" ht="15.6" x14ac:dyDescent="0.3">
      <c r="A29" s="107" t="s">
        <v>173</v>
      </c>
      <c r="B29" s="138">
        <v>31.9</v>
      </c>
      <c r="C29" s="109">
        <v>270</v>
      </c>
      <c r="D29" s="110">
        <v>45945</v>
      </c>
      <c r="E29" s="109">
        <v>296</v>
      </c>
      <c r="F29" s="109">
        <v>26</v>
      </c>
      <c r="G29" s="109">
        <v>82</v>
      </c>
      <c r="H29" s="109">
        <v>317.07</v>
      </c>
      <c r="I29" s="109">
        <v>276.57</v>
      </c>
      <c r="J29" s="107" t="s">
        <v>167</v>
      </c>
    </row>
    <row r="30" spans="1:10" ht="15.6" x14ac:dyDescent="0.3">
      <c r="A30" s="107" t="s">
        <v>174</v>
      </c>
      <c r="B30" s="138">
        <v>28.1</v>
      </c>
      <c r="C30" s="109">
        <v>206</v>
      </c>
      <c r="D30" s="110">
        <v>45945</v>
      </c>
      <c r="E30" s="109">
        <v>290</v>
      </c>
      <c r="F30" s="109">
        <v>84</v>
      </c>
      <c r="G30" s="109">
        <v>82</v>
      </c>
      <c r="H30" s="109">
        <v>1024.3900000000001</v>
      </c>
      <c r="I30" s="109">
        <v>306.79000000000002</v>
      </c>
      <c r="J30" s="107" t="s">
        <v>167</v>
      </c>
    </row>
    <row r="31" spans="1:10" ht="15.6" x14ac:dyDescent="0.3">
      <c r="A31" s="107" t="s">
        <v>175</v>
      </c>
      <c r="B31" s="138">
        <v>27.8</v>
      </c>
      <c r="C31" s="109">
        <v>206</v>
      </c>
      <c r="D31" s="110">
        <v>45945</v>
      </c>
      <c r="E31" s="109">
        <v>228</v>
      </c>
      <c r="F31" s="109">
        <v>22</v>
      </c>
      <c r="G31" s="109">
        <v>82</v>
      </c>
      <c r="H31" s="109">
        <v>268.29000000000002</v>
      </c>
      <c r="I31" s="109">
        <v>236.41</v>
      </c>
      <c r="J31" s="107" t="s">
        <v>167</v>
      </c>
    </row>
    <row r="32" spans="1:10" ht="15.6" x14ac:dyDescent="0.3">
      <c r="A32" s="107" t="s">
        <v>176</v>
      </c>
      <c r="B32" s="138">
        <v>35.299999999999997</v>
      </c>
      <c r="C32" s="109">
        <v>349</v>
      </c>
      <c r="D32" s="110">
        <v>45945</v>
      </c>
      <c r="E32" s="109">
        <v>354</v>
      </c>
      <c r="F32" s="109">
        <v>5</v>
      </c>
      <c r="G32" s="109">
        <v>82</v>
      </c>
      <c r="H32" s="109">
        <v>60.98</v>
      </c>
      <c r="I32" s="109">
        <v>303.54000000000002</v>
      </c>
      <c r="J32" s="107" t="s">
        <v>167</v>
      </c>
    </row>
    <row r="33" spans="1:10" ht="15.6" x14ac:dyDescent="0.3">
      <c r="A33" s="107" t="s">
        <v>177</v>
      </c>
      <c r="B33" s="138">
        <v>51.2</v>
      </c>
      <c r="C33" s="109">
        <v>310</v>
      </c>
      <c r="D33" s="110">
        <v>45945</v>
      </c>
      <c r="E33" s="109">
        <v>370</v>
      </c>
      <c r="F33" s="109">
        <v>60</v>
      </c>
      <c r="G33" s="109">
        <v>82</v>
      </c>
      <c r="H33" s="109">
        <v>731.71</v>
      </c>
      <c r="I33" s="109">
        <v>219.79</v>
      </c>
      <c r="J33" s="107" t="s">
        <v>167</v>
      </c>
    </row>
    <row r="34" spans="1:10" ht="15.6" x14ac:dyDescent="0.3">
      <c r="A34" s="107" t="s">
        <v>178</v>
      </c>
      <c r="B34" s="138">
        <v>37.299999999999997</v>
      </c>
      <c r="C34" s="109">
        <v>260</v>
      </c>
      <c r="D34" s="110">
        <v>45945</v>
      </c>
      <c r="E34" s="109">
        <v>262</v>
      </c>
      <c r="F34" s="109">
        <v>2</v>
      </c>
      <c r="G34" s="109">
        <v>82</v>
      </c>
      <c r="H34" s="109">
        <v>24.39</v>
      </c>
      <c r="I34" s="109">
        <v>206.35</v>
      </c>
      <c r="J34" s="107" t="s">
        <v>167</v>
      </c>
    </row>
    <row r="35" spans="1:10" ht="15.6" x14ac:dyDescent="0.3">
      <c r="A35" s="107" t="s">
        <v>179</v>
      </c>
      <c r="B35" s="138">
        <v>27.8</v>
      </c>
      <c r="C35" s="109">
        <v>266</v>
      </c>
      <c r="D35" s="110">
        <v>45945</v>
      </c>
      <c r="E35" s="109">
        <v>298</v>
      </c>
      <c r="F35" s="109">
        <v>32</v>
      </c>
      <c r="G35" s="109">
        <v>82</v>
      </c>
      <c r="H35" s="109">
        <v>390.24</v>
      </c>
      <c r="I35" s="109">
        <v>319.14999999999998</v>
      </c>
      <c r="J35" s="107" t="s">
        <v>167</v>
      </c>
    </row>
    <row r="36" spans="1:10" ht="15.6" x14ac:dyDescent="0.3">
      <c r="A36" s="107" t="s">
        <v>180</v>
      </c>
      <c r="B36" s="138">
        <v>56.3</v>
      </c>
      <c r="C36" s="109">
        <v>370</v>
      </c>
      <c r="D36" s="110">
        <v>45945</v>
      </c>
      <c r="E36" s="109">
        <v>392</v>
      </c>
      <c r="F36" s="109">
        <v>22</v>
      </c>
      <c r="G36" s="109">
        <v>82</v>
      </c>
      <c r="H36" s="109">
        <v>268.29000000000002</v>
      </c>
      <c r="I36" s="109">
        <v>212.62</v>
      </c>
      <c r="J36" s="107" t="s">
        <v>167</v>
      </c>
    </row>
    <row r="37" spans="1:10" ht="15.6" x14ac:dyDescent="0.3">
      <c r="A37" s="107" t="s">
        <v>181</v>
      </c>
      <c r="B37" s="138">
        <v>32.5</v>
      </c>
      <c r="C37" s="109">
        <v>275</v>
      </c>
      <c r="D37" s="110">
        <v>45945</v>
      </c>
      <c r="E37" s="109">
        <v>310</v>
      </c>
      <c r="F37" s="109">
        <v>35</v>
      </c>
      <c r="G37" s="109">
        <v>82</v>
      </c>
      <c r="H37" s="109">
        <v>426.83</v>
      </c>
      <c r="I37" s="109">
        <v>285.14</v>
      </c>
      <c r="J37" s="107" t="s">
        <v>167</v>
      </c>
    </row>
    <row r="38" spans="1:10" ht="15.6" x14ac:dyDescent="0.3">
      <c r="A38" s="107" t="s">
        <v>182</v>
      </c>
      <c r="B38" s="138">
        <v>30.8</v>
      </c>
      <c r="C38" s="109">
        <v>280</v>
      </c>
      <c r="D38" s="110">
        <v>45945</v>
      </c>
      <c r="E38" s="109">
        <v>309</v>
      </c>
      <c r="F38" s="109">
        <v>29</v>
      </c>
      <c r="G38" s="109">
        <v>82</v>
      </c>
      <c r="H38" s="109">
        <v>353.66</v>
      </c>
      <c r="I38" s="109">
        <v>299.89</v>
      </c>
      <c r="J38" s="107" t="s">
        <v>167</v>
      </c>
    </row>
    <row r="39" spans="1:10" ht="15.6" x14ac:dyDescent="0.3">
      <c r="A39" s="107" t="s">
        <v>183</v>
      </c>
      <c r="B39" s="138">
        <v>34.5</v>
      </c>
      <c r="C39" s="109">
        <v>242</v>
      </c>
      <c r="D39" s="110">
        <v>45945</v>
      </c>
      <c r="E39" s="109">
        <v>272</v>
      </c>
      <c r="F39" s="109">
        <v>30</v>
      </c>
      <c r="G39" s="109">
        <v>82</v>
      </c>
      <c r="H39" s="109">
        <v>365.85</v>
      </c>
      <c r="I39" s="109">
        <v>232.38</v>
      </c>
      <c r="J39" s="107" t="s">
        <v>167</v>
      </c>
    </row>
    <row r="40" spans="1:10" ht="15.6" x14ac:dyDescent="0.3">
      <c r="A40" s="107" t="s">
        <v>184</v>
      </c>
      <c r="B40" s="138">
        <v>24.1</v>
      </c>
      <c r="C40" s="109">
        <v>290</v>
      </c>
      <c r="D40" s="110">
        <v>45945</v>
      </c>
      <c r="E40" s="109">
        <v>315</v>
      </c>
      <c r="F40" s="109">
        <v>25</v>
      </c>
      <c r="G40" s="109">
        <v>82</v>
      </c>
      <c r="H40" s="109">
        <v>304.88</v>
      </c>
      <c r="I40" s="109">
        <v>392.08</v>
      </c>
      <c r="J40" s="107" t="s">
        <v>167</v>
      </c>
    </row>
    <row r="41" spans="1:10" ht="15.6" x14ac:dyDescent="0.3">
      <c r="A41" s="107" t="s">
        <v>185</v>
      </c>
      <c r="B41" s="138">
        <v>26.2</v>
      </c>
      <c r="C41" s="109">
        <v>260</v>
      </c>
      <c r="D41" s="110">
        <v>45945</v>
      </c>
      <c r="E41" s="109">
        <v>286</v>
      </c>
      <c r="F41" s="109">
        <v>26</v>
      </c>
      <c r="G41" s="109">
        <v>82</v>
      </c>
      <c r="H41" s="109">
        <v>317.07</v>
      </c>
      <c r="I41" s="109">
        <v>323.31</v>
      </c>
      <c r="J41" s="107" t="s">
        <v>167</v>
      </c>
    </row>
    <row r="42" spans="1:10" ht="15.6" x14ac:dyDescent="0.3">
      <c r="A42" s="107" t="s">
        <v>186</v>
      </c>
      <c r="B42" s="138">
        <v>25.2</v>
      </c>
      <c r="C42" s="109">
        <v>267</v>
      </c>
      <c r="D42" s="110">
        <v>45945</v>
      </c>
      <c r="E42" s="109">
        <v>289</v>
      </c>
      <c r="F42" s="109">
        <v>22</v>
      </c>
      <c r="G42" s="109">
        <v>82</v>
      </c>
      <c r="H42" s="109">
        <v>268.29000000000002</v>
      </c>
      <c r="I42" s="109">
        <v>340.29</v>
      </c>
      <c r="J42" s="107" t="s">
        <v>167</v>
      </c>
    </row>
    <row r="43" spans="1:10" ht="15.6" x14ac:dyDescent="0.3">
      <c r="A43" s="107" t="s">
        <v>187</v>
      </c>
      <c r="B43" s="138">
        <v>36.700000000000003</v>
      </c>
      <c r="C43" s="109">
        <v>258</v>
      </c>
      <c r="D43" s="110">
        <v>45945</v>
      </c>
      <c r="E43" s="109">
        <v>276</v>
      </c>
      <c r="F43" s="109">
        <v>18</v>
      </c>
      <c r="G43" s="109">
        <v>82</v>
      </c>
      <c r="H43" s="109">
        <v>219.51</v>
      </c>
      <c r="I43" s="109">
        <v>222.22</v>
      </c>
      <c r="J43" s="107" t="s">
        <v>167</v>
      </c>
    </row>
    <row r="44" spans="1:10" ht="15.6" x14ac:dyDescent="0.3">
      <c r="A44" s="107" t="s">
        <v>188</v>
      </c>
      <c r="B44" s="138">
        <v>24.6</v>
      </c>
      <c r="C44" s="109">
        <v>256</v>
      </c>
      <c r="D44" s="110">
        <v>45945</v>
      </c>
      <c r="E44" s="109">
        <v>268</v>
      </c>
      <c r="F44" s="109">
        <v>12</v>
      </c>
      <c r="G44" s="109">
        <v>82</v>
      </c>
      <c r="H44" s="109">
        <v>146.34</v>
      </c>
      <c r="I44" s="109">
        <v>320.86</v>
      </c>
      <c r="J44" s="107" t="s">
        <v>167</v>
      </c>
    </row>
    <row r="45" spans="1:10" ht="15.6" x14ac:dyDescent="0.3">
      <c r="A45" s="107" t="s">
        <v>189</v>
      </c>
      <c r="B45" s="138">
        <v>33.799999999999997</v>
      </c>
      <c r="C45" s="109">
        <v>248</v>
      </c>
      <c r="D45" s="110">
        <v>45945</v>
      </c>
      <c r="E45" s="109">
        <v>249</v>
      </c>
      <c r="F45" s="109">
        <v>1</v>
      </c>
      <c r="G45" s="109">
        <v>82</v>
      </c>
      <c r="H45" s="109">
        <v>12.2</v>
      </c>
      <c r="I45" s="109">
        <v>214.98</v>
      </c>
      <c r="J45" s="107" t="s">
        <v>167</v>
      </c>
    </row>
    <row r="46" spans="1:10" ht="15.6" x14ac:dyDescent="0.3">
      <c r="A46" s="107" t="s">
        <v>190</v>
      </c>
      <c r="B46" s="138">
        <v>51.5</v>
      </c>
      <c r="C46" s="109">
        <v>345</v>
      </c>
      <c r="D46" s="110">
        <v>45945</v>
      </c>
      <c r="E46" s="109">
        <v>360</v>
      </c>
      <c r="F46" s="109">
        <v>15</v>
      </c>
      <c r="G46" s="109">
        <v>82</v>
      </c>
      <c r="H46" s="109">
        <v>182.93</v>
      </c>
      <c r="I46" s="109">
        <v>212.01</v>
      </c>
      <c r="J46" s="107" t="s">
        <v>167</v>
      </c>
    </row>
    <row r="47" spans="1:10" ht="15.6" x14ac:dyDescent="0.3">
      <c r="A47" s="107" t="s">
        <v>191</v>
      </c>
      <c r="B47" s="138">
        <v>30.4</v>
      </c>
      <c r="C47" s="109">
        <v>274</v>
      </c>
      <c r="D47" s="110">
        <v>45945</v>
      </c>
      <c r="E47" s="109">
        <v>302</v>
      </c>
      <c r="F47" s="109">
        <v>28</v>
      </c>
      <c r="G47" s="109">
        <v>82</v>
      </c>
      <c r="H47" s="109">
        <v>341.46</v>
      </c>
      <c r="I47" s="109">
        <v>295.89999999999998</v>
      </c>
      <c r="J47" s="107" t="s">
        <v>167</v>
      </c>
    </row>
    <row r="48" spans="1:10" ht="15.6" x14ac:dyDescent="0.3">
      <c r="A48" s="107" t="s">
        <v>192</v>
      </c>
      <c r="B48" s="138">
        <v>41.8</v>
      </c>
      <c r="C48" s="109">
        <v>360</v>
      </c>
      <c r="D48" s="110">
        <v>45945</v>
      </c>
      <c r="E48" s="109">
        <v>402</v>
      </c>
      <c r="F48" s="109">
        <v>42</v>
      </c>
      <c r="G48" s="109">
        <v>82</v>
      </c>
      <c r="H48" s="109">
        <v>512.20000000000005</v>
      </c>
      <c r="I48" s="109">
        <v>294.02999999999997</v>
      </c>
      <c r="J48" s="107" t="s">
        <v>167</v>
      </c>
    </row>
    <row r="49" spans="1:10" ht="15.6" x14ac:dyDescent="0.3">
      <c r="A49" s="107" t="s">
        <v>193</v>
      </c>
      <c r="B49" s="138">
        <v>29.3</v>
      </c>
      <c r="C49" s="109">
        <v>265</v>
      </c>
      <c r="D49" s="110">
        <v>45945</v>
      </c>
      <c r="E49" s="109">
        <v>281</v>
      </c>
      <c r="F49" s="109">
        <v>16</v>
      </c>
      <c r="G49" s="109">
        <v>82</v>
      </c>
      <c r="H49" s="109">
        <v>195.12</v>
      </c>
      <c r="I49" s="109">
        <v>283.63</v>
      </c>
      <c r="J49" s="107" t="s">
        <v>167</v>
      </c>
    </row>
    <row r="50" spans="1:10" ht="15.6" x14ac:dyDescent="0.3">
      <c r="A50" s="107" t="s">
        <v>194</v>
      </c>
      <c r="B50" s="138">
        <v>23.9</v>
      </c>
      <c r="C50" s="109">
        <v>310</v>
      </c>
      <c r="D50" s="110">
        <v>45945</v>
      </c>
      <c r="E50" s="109">
        <v>330</v>
      </c>
      <c r="F50" s="109">
        <v>20</v>
      </c>
      <c r="G50" s="109">
        <v>82</v>
      </c>
      <c r="H50" s="109">
        <v>243.9</v>
      </c>
      <c r="I50" s="109">
        <v>415.41</v>
      </c>
      <c r="J50" s="107" t="s">
        <v>167</v>
      </c>
    </row>
    <row r="51" spans="1:10" ht="15.6" x14ac:dyDescent="0.3">
      <c r="A51" s="107" t="s">
        <v>195</v>
      </c>
      <c r="B51" s="138">
        <v>37.6</v>
      </c>
      <c r="C51" s="109">
        <v>320</v>
      </c>
      <c r="D51" s="110">
        <v>45945</v>
      </c>
      <c r="E51" s="109">
        <v>349</v>
      </c>
      <c r="F51" s="109">
        <v>29</v>
      </c>
      <c r="G51" s="109">
        <v>82</v>
      </c>
      <c r="H51" s="109">
        <v>353.66</v>
      </c>
      <c r="I51" s="109">
        <v>280.58999999999997</v>
      </c>
      <c r="J51" s="107" t="s">
        <v>167</v>
      </c>
    </row>
    <row r="52" spans="1:10" ht="15.6" x14ac:dyDescent="0.3">
      <c r="A52" s="107" t="s">
        <v>196</v>
      </c>
      <c r="B52" s="138">
        <v>40</v>
      </c>
      <c r="C52" s="109">
        <v>295</v>
      </c>
      <c r="D52" s="110">
        <v>45945</v>
      </c>
      <c r="E52" s="109">
        <v>310</v>
      </c>
      <c r="F52" s="109">
        <v>15</v>
      </c>
      <c r="G52" s="109">
        <v>82</v>
      </c>
      <c r="H52" s="109">
        <v>182.93</v>
      </c>
      <c r="I52" s="109">
        <v>231.53</v>
      </c>
      <c r="J52" s="107" t="s">
        <v>167</v>
      </c>
    </row>
    <row r="53" spans="1:10" ht="15.6" x14ac:dyDescent="0.3">
      <c r="A53" s="107" t="s">
        <v>197</v>
      </c>
      <c r="B53" s="138">
        <v>55.8</v>
      </c>
      <c r="C53" s="109">
        <v>350</v>
      </c>
      <c r="D53" s="110">
        <v>45945</v>
      </c>
      <c r="E53" s="109">
        <v>370</v>
      </c>
      <c r="F53" s="109">
        <v>20</v>
      </c>
      <c r="G53" s="109">
        <v>82</v>
      </c>
      <c r="H53" s="109">
        <v>243.9</v>
      </c>
      <c r="I53" s="109">
        <v>201.41</v>
      </c>
      <c r="J53" s="107" t="s">
        <v>167</v>
      </c>
    </row>
    <row r="54" spans="1:10" ht="15.6" x14ac:dyDescent="0.3">
      <c r="A54" s="107" t="s">
        <v>198</v>
      </c>
      <c r="B54" s="138">
        <v>55.1</v>
      </c>
      <c r="C54" s="109">
        <v>295</v>
      </c>
      <c r="D54" s="110">
        <v>45945</v>
      </c>
      <c r="E54" s="109">
        <v>302</v>
      </c>
      <c r="F54" s="109">
        <v>7</v>
      </c>
      <c r="G54" s="109">
        <v>82</v>
      </c>
      <c r="H54" s="109">
        <v>85.37</v>
      </c>
      <c r="I54" s="109">
        <v>163.47999999999999</v>
      </c>
      <c r="J54" s="107" t="s">
        <v>167</v>
      </c>
    </row>
    <row r="55" spans="1:10" ht="15.6" x14ac:dyDescent="0.3">
      <c r="A55" s="107" t="s">
        <v>199</v>
      </c>
      <c r="B55" s="138">
        <v>41.5</v>
      </c>
      <c r="C55" s="109">
        <v>340</v>
      </c>
      <c r="D55" s="110">
        <v>45945</v>
      </c>
      <c r="E55" s="109">
        <v>371</v>
      </c>
      <c r="F55" s="109">
        <v>31</v>
      </c>
      <c r="G55" s="109">
        <v>82</v>
      </c>
      <c r="H55" s="109">
        <v>378.05</v>
      </c>
      <c r="I55" s="109">
        <v>271.58</v>
      </c>
      <c r="J55" s="107" t="s">
        <v>167</v>
      </c>
    </row>
    <row r="56" spans="1:10" ht="15.6" x14ac:dyDescent="0.3">
      <c r="A56" s="107" t="s">
        <v>200</v>
      </c>
      <c r="B56" s="138">
        <v>34.6</v>
      </c>
      <c r="C56" s="109">
        <v>310</v>
      </c>
      <c r="D56" s="110">
        <v>45945</v>
      </c>
      <c r="E56" s="109">
        <v>332</v>
      </c>
      <c r="F56" s="109">
        <v>22</v>
      </c>
      <c r="G56" s="109">
        <v>82</v>
      </c>
      <c r="H56" s="109">
        <v>268.29000000000002</v>
      </c>
      <c r="I56" s="109">
        <v>288.7</v>
      </c>
      <c r="J56" s="107" t="s">
        <v>167</v>
      </c>
    </row>
    <row r="57" spans="1:10" ht="15.6" x14ac:dyDescent="0.3">
      <c r="A57" s="107" t="s">
        <v>201</v>
      </c>
      <c r="B57" s="138">
        <v>31.6</v>
      </c>
      <c r="C57" s="109">
        <v>315</v>
      </c>
      <c r="D57" s="110">
        <v>45945</v>
      </c>
      <c r="E57" s="109">
        <v>337</v>
      </c>
      <c r="F57" s="109">
        <v>22</v>
      </c>
      <c r="G57" s="109">
        <v>82</v>
      </c>
      <c r="H57" s="109">
        <v>268.29000000000002</v>
      </c>
      <c r="I57" s="109">
        <v>321.20999999999998</v>
      </c>
      <c r="J57" s="107" t="s">
        <v>167</v>
      </c>
    </row>
    <row r="58" spans="1:10" ht="15.6" x14ac:dyDescent="0.3">
      <c r="A58" s="107" t="s">
        <v>202</v>
      </c>
      <c r="B58" s="138">
        <v>47.8</v>
      </c>
      <c r="C58" s="109">
        <v>355</v>
      </c>
      <c r="D58" s="110">
        <v>45945</v>
      </c>
      <c r="E58" s="109">
        <v>386</v>
      </c>
      <c r="F58" s="109">
        <v>31</v>
      </c>
      <c r="G58" s="109">
        <v>82</v>
      </c>
      <c r="H58" s="109">
        <v>378.05</v>
      </c>
      <c r="I58" s="109">
        <v>246.22</v>
      </c>
      <c r="J58" s="107" t="s">
        <v>167</v>
      </c>
    </row>
    <row r="59" spans="1:10" ht="15.6" x14ac:dyDescent="0.3">
      <c r="A59" s="107" t="s">
        <v>203</v>
      </c>
      <c r="B59" s="138">
        <v>23.5</v>
      </c>
      <c r="C59" s="109">
        <v>256</v>
      </c>
      <c r="D59" s="110">
        <v>45945</v>
      </c>
      <c r="E59" s="109">
        <v>280</v>
      </c>
      <c r="F59" s="109">
        <v>24</v>
      </c>
      <c r="G59" s="109">
        <v>82</v>
      </c>
      <c r="H59" s="109">
        <v>292.68</v>
      </c>
      <c r="I59" s="109">
        <v>352.94</v>
      </c>
      <c r="J59" s="107" t="s">
        <v>167</v>
      </c>
    </row>
    <row r="60" spans="1:10" ht="15.6" x14ac:dyDescent="0.3">
      <c r="A60" s="107" t="s">
        <v>204</v>
      </c>
      <c r="B60" s="138">
        <v>41.4</v>
      </c>
      <c r="C60" s="109">
        <v>262</v>
      </c>
      <c r="D60" s="110">
        <v>45945</v>
      </c>
      <c r="E60" s="109">
        <v>270</v>
      </c>
      <c r="F60" s="109">
        <v>8</v>
      </c>
      <c r="G60" s="109">
        <v>82</v>
      </c>
      <c r="H60" s="109">
        <v>97.56</v>
      </c>
      <c r="I60" s="109">
        <v>192.37</v>
      </c>
      <c r="J60" s="107" t="s">
        <v>167</v>
      </c>
    </row>
    <row r="61" spans="1:10" ht="15.6" x14ac:dyDescent="0.3">
      <c r="A61" s="107" t="s">
        <v>205</v>
      </c>
      <c r="B61" s="138">
        <v>47.3</v>
      </c>
      <c r="C61" s="109">
        <v>287</v>
      </c>
      <c r="D61" s="110">
        <v>45945</v>
      </c>
      <c r="E61" s="109">
        <v>312</v>
      </c>
      <c r="F61" s="109">
        <v>25</v>
      </c>
      <c r="G61" s="109">
        <v>82</v>
      </c>
      <c r="H61" s="109">
        <v>304.88</v>
      </c>
      <c r="I61" s="109">
        <v>197.22</v>
      </c>
      <c r="J61" s="107" t="s">
        <v>167</v>
      </c>
    </row>
    <row r="62" spans="1:10" ht="15.6" x14ac:dyDescent="0.3">
      <c r="A62" s="107" t="s">
        <v>206</v>
      </c>
      <c r="B62" s="138">
        <v>24.6</v>
      </c>
      <c r="C62" s="109">
        <v>240</v>
      </c>
      <c r="D62" s="110">
        <v>45945</v>
      </c>
      <c r="E62" s="109">
        <v>280</v>
      </c>
      <c r="F62" s="109">
        <v>40</v>
      </c>
      <c r="G62" s="109">
        <v>82</v>
      </c>
      <c r="H62" s="109">
        <v>487.8</v>
      </c>
      <c r="I62" s="109">
        <v>336.45</v>
      </c>
      <c r="J62" s="107" t="s">
        <v>167</v>
      </c>
    </row>
    <row r="63" spans="1:10" ht="15.6" x14ac:dyDescent="0.3">
      <c r="A63" s="107" t="s">
        <v>207</v>
      </c>
      <c r="B63" s="138">
        <v>34.4</v>
      </c>
      <c r="C63" s="109">
        <v>310</v>
      </c>
      <c r="D63" s="110">
        <v>45945</v>
      </c>
      <c r="E63" s="109">
        <v>348</v>
      </c>
      <c r="F63" s="109">
        <v>38</v>
      </c>
      <c r="G63" s="109">
        <v>82</v>
      </c>
      <c r="H63" s="109">
        <v>463.41</v>
      </c>
      <c r="I63" s="109">
        <v>306.22000000000003</v>
      </c>
      <c r="J63" s="107" t="s">
        <v>167</v>
      </c>
    </row>
    <row r="64" spans="1:10" ht="15.6" x14ac:dyDescent="0.3">
      <c r="A64" s="107" t="s">
        <v>208</v>
      </c>
      <c r="B64" s="138">
        <v>23.4</v>
      </c>
      <c r="C64" s="109">
        <v>270</v>
      </c>
      <c r="D64" s="110">
        <v>45945</v>
      </c>
      <c r="E64" s="109">
        <v>300</v>
      </c>
      <c r="F64" s="109">
        <v>30</v>
      </c>
      <c r="G64" s="109">
        <v>82</v>
      </c>
      <c r="H64" s="109">
        <v>365.85</v>
      </c>
      <c r="I64" s="109">
        <v>382.02</v>
      </c>
      <c r="J64" s="107" t="s">
        <v>167</v>
      </c>
    </row>
    <row r="65" spans="1:10" ht="15.6" x14ac:dyDescent="0.3">
      <c r="A65" s="107" t="s">
        <v>209</v>
      </c>
      <c r="B65" s="138">
        <v>24.7</v>
      </c>
      <c r="C65" s="109">
        <v>270</v>
      </c>
      <c r="D65" s="110">
        <v>45945</v>
      </c>
      <c r="E65" s="109">
        <v>297</v>
      </c>
      <c r="F65" s="109">
        <v>27</v>
      </c>
      <c r="G65" s="109">
        <v>82</v>
      </c>
      <c r="H65" s="109">
        <v>329.27</v>
      </c>
      <c r="I65" s="109">
        <v>358.19</v>
      </c>
      <c r="J65" s="107" t="s">
        <v>167</v>
      </c>
    </row>
    <row r="66" spans="1:10" ht="15.6" x14ac:dyDescent="0.3">
      <c r="A66" s="143"/>
      <c r="B66" s="144"/>
      <c r="C66" s="145"/>
      <c r="D66" s="146"/>
      <c r="E66" s="145"/>
      <c r="F66" s="145"/>
      <c r="G66" s="145"/>
      <c r="H66" s="145"/>
      <c r="I66" s="145"/>
      <c r="J66" s="143"/>
    </row>
    <row r="67" spans="1:10" ht="45" x14ac:dyDescent="0.3">
      <c r="A67" s="11" t="s">
        <v>150</v>
      </c>
      <c r="B67" s="11" t="s">
        <v>151</v>
      </c>
      <c r="C67" s="11" t="s">
        <v>152</v>
      </c>
      <c r="D67" s="11" t="s">
        <v>153</v>
      </c>
      <c r="E67" s="11" t="s">
        <v>154</v>
      </c>
      <c r="F67" s="11" t="s">
        <v>155</v>
      </c>
      <c r="G67" s="11" t="s">
        <v>156</v>
      </c>
      <c r="H67" s="11" t="s">
        <v>157</v>
      </c>
      <c r="I67" s="11" t="s">
        <v>158</v>
      </c>
      <c r="J67" s="11" t="s">
        <v>159</v>
      </c>
    </row>
    <row r="68" spans="1:10" ht="15.6" x14ac:dyDescent="0.3">
      <c r="A68" s="107" t="s">
        <v>210</v>
      </c>
      <c r="B68" s="138">
        <v>20</v>
      </c>
      <c r="C68" s="109">
        <v>202</v>
      </c>
      <c r="D68" s="110">
        <v>45945</v>
      </c>
      <c r="E68" s="109">
        <v>239</v>
      </c>
      <c r="F68" s="109">
        <v>37</v>
      </c>
      <c r="G68" s="109">
        <v>82</v>
      </c>
      <c r="H68" s="109">
        <v>451.22</v>
      </c>
      <c r="I68" s="109">
        <v>347.61</v>
      </c>
      <c r="J68" s="107" t="s">
        <v>22</v>
      </c>
    </row>
    <row r="69" spans="1:10" ht="15.6" x14ac:dyDescent="0.3">
      <c r="A69" s="107" t="s">
        <v>211</v>
      </c>
      <c r="B69" s="138">
        <v>16.5</v>
      </c>
      <c r="C69" s="109">
        <v>176</v>
      </c>
      <c r="D69" s="110">
        <v>45945</v>
      </c>
      <c r="E69" s="109">
        <v>184</v>
      </c>
      <c r="F69" s="109">
        <v>8</v>
      </c>
      <c r="G69" s="109">
        <v>82</v>
      </c>
      <c r="H69" s="109">
        <v>97.56</v>
      </c>
      <c r="I69" s="109">
        <v>310.14</v>
      </c>
      <c r="J69" s="107" t="s">
        <v>22</v>
      </c>
    </row>
    <row r="70" spans="1:10" ht="15.6" x14ac:dyDescent="0.3">
      <c r="A70" s="107" t="s">
        <v>212</v>
      </c>
      <c r="B70" s="138">
        <v>22.4</v>
      </c>
      <c r="C70" s="109">
        <v>220</v>
      </c>
      <c r="D70" s="110">
        <v>45945</v>
      </c>
      <c r="E70" s="109">
        <v>246</v>
      </c>
      <c r="F70" s="109">
        <v>26</v>
      </c>
      <c r="G70" s="109">
        <v>82</v>
      </c>
      <c r="H70" s="109">
        <v>317.07</v>
      </c>
      <c r="I70" s="109">
        <v>320.12</v>
      </c>
      <c r="J70" s="107" t="s">
        <v>22</v>
      </c>
    </row>
    <row r="71" spans="1:10" ht="15.6" x14ac:dyDescent="0.3">
      <c r="A71" s="107" t="s">
        <v>213</v>
      </c>
      <c r="B71" s="138">
        <v>20.399999999999999</v>
      </c>
      <c r="C71" s="109">
        <v>222</v>
      </c>
      <c r="D71" s="110">
        <v>45945</v>
      </c>
      <c r="E71" s="109">
        <v>246</v>
      </c>
      <c r="F71" s="109">
        <v>24</v>
      </c>
      <c r="G71" s="109">
        <v>82</v>
      </c>
      <c r="H71" s="109">
        <v>292.68</v>
      </c>
      <c r="I71" s="109">
        <v>351.61</v>
      </c>
      <c r="J71" s="107" t="s">
        <v>22</v>
      </c>
    </row>
    <row r="72" spans="1:10" ht="15.6" x14ac:dyDescent="0.3">
      <c r="A72" s="107" t="s">
        <v>214</v>
      </c>
      <c r="B72" s="138">
        <v>18.8</v>
      </c>
      <c r="C72" s="109">
        <v>201</v>
      </c>
      <c r="D72" s="110">
        <v>45945</v>
      </c>
      <c r="E72" s="109">
        <v>220</v>
      </c>
      <c r="F72" s="109">
        <v>19</v>
      </c>
      <c r="G72" s="109">
        <v>82</v>
      </c>
      <c r="H72" s="109">
        <v>231.71</v>
      </c>
      <c r="I72" s="109">
        <v>335.66</v>
      </c>
      <c r="J72" s="107" t="s">
        <v>22</v>
      </c>
    </row>
    <row r="73" spans="1:10" ht="15.6" x14ac:dyDescent="0.3">
      <c r="A73" s="107" t="s">
        <v>137</v>
      </c>
      <c r="B73" s="138">
        <v>17.2</v>
      </c>
      <c r="C73" s="109">
        <v>182</v>
      </c>
      <c r="D73" s="110">
        <v>45945</v>
      </c>
      <c r="E73" s="109">
        <v>169</v>
      </c>
      <c r="F73" s="109">
        <v>-13</v>
      </c>
      <c r="G73" s="109">
        <v>82</v>
      </c>
      <c r="H73" s="109">
        <v>-158.54</v>
      </c>
      <c r="I73" s="109">
        <v>269.60000000000002</v>
      </c>
      <c r="J73" s="107" t="s">
        <v>22</v>
      </c>
    </row>
    <row r="74" spans="1:10" ht="15.6" x14ac:dyDescent="0.3">
      <c r="A74" s="107" t="s">
        <v>136</v>
      </c>
      <c r="B74" s="138">
        <v>17</v>
      </c>
      <c r="C74" s="109">
        <v>220</v>
      </c>
      <c r="D74" s="110">
        <v>45945</v>
      </c>
      <c r="E74" s="109">
        <v>211</v>
      </c>
      <c r="F74" s="109">
        <v>-9</v>
      </c>
      <c r="G74" s="109">
        <v>82</v>
      </c>
      <c r="H74" s="109">
        <v>-109.76</v>
      </c>
      <c r="I74" s="109">
        <v>353.28</v>
      </c>
      <c r="J74" s="107" t="s">
        <v>22</v>
      </c>
    </row>
    <row r="75" spans="1:10" ht="15.6" x14ac:dyDescent="0.3">
      <c r="A75" s="107" t="s">
        <v>215</v>
      </c>
      <c r="B75" s="138">
        <v>15.1</v>
      </c>
      <c r="C75" s="109">
        <v>210</v>
      </c>
      <c r="D75" s="110">
        <v>45945</v>
      </c>
      <c r="E75" s="109">
        <v>220</v>
      </c>
      <c r="F75" s="109">
        <v>10</v>
      </c>
      <c r="G75" s="109">
        <v>82</v>
      </c>
      <c r="H75" s="109">
        <v>121.95</v>
      </c>
      <c r="I75" s="109">
        <v>417.39</v>
      </c>
      <c r="J75" s="107" t="s">
        <v>22</v>
      </c>
    </row>
    <row r="76" spans="1:10" ht="15.6" x14ac:dyDescent="0.3">
      <c r="A76" s="107" t="s">
        <v>135</v>
      </c>
      <c r="B76" s="138">
        <v>15.1</v>
      </c>
      <c r="C76" s="109">
        <v>212</v>
      </c>
      <c r="D76" s="110">
        <v>45945</v>
      </c>
      <c r="E76" s="109">
        <v>224</v>
      </c>
      <c r="F76" s="109">
        <v>12</v>
      </c>
      <c r="G76" s="109">
        <v>82</v>
      </c>
      <c r="H76" s="109">
        <v>146.34</v>
      </c>
      <c r="I76" s="109">
        <v>423.91</v>
      </c>
      <c r="J76" s="107" t="s">
        <v>22</v>
      </c>
    </row>
    <row r="77" spans="1:10" ht="15.6" x14ac:dyDescent="0.3">
      <c r="A77" s="107" t="s">
        <v>216</v>
      </c>
      <c r="B77" s="138">
        <v>15</v>
      </c>
      <c r="C77" s="109">
        <v>210</v>
      </c>
      <c r="D77" s="110">
        <v>45945</v>
      </c>
      <c r="E77" s="109">
        <v>218</v>
      </c>
      <c r="F77" s="109">
        <v>8</v>
      </c>
      <c r="G77" s="109">
        <v>82</v>
      </c>
      <c r="H77" s="109">
        <v>97.56</v>
      </c>
      <c r="I77" s="109">
        <v>417.58</v>
      </c>
      <c r="J77" s="107" t="s">
        <v>22</v>
      </c>
    </row>
    <row r="78" spans="1:10" ht="15.6" x14ac:dyDescent="0.3">
      <c r="A78" s="107" t="s">
        <v>134</v>
      </c>
      <c r="B78" s="138">
        <v>14.9</v>
      </c>
      <c r="C78" s="109">
        <v>169</v>
      </c>
      <c r="D78" s="110">
        <v>45945</v>
      </c>
      <c r="E78" s="109">
        <v>172</v>
      </c>
      <c r="F78" s="109">
        <v>3</v>
      </c>
      <c r="G78" s="109">
        <v>82</v>
      </c>
      <c r="H78" s="109">
        <v>36.590000000000003</v>
      </c>
      <c r="I78" s="109">
        <v>316.37</v>
      </c>
      <c r="J78" s="107" t="s">
        <v>22</v>
      </c>
    </row>
    <row r="79" spans="1:10" ht="15.6" x14ac:dyDescent="0.3">
      <c r="A79" s="107" t="s">
        <v>217</v>
      </c>
      <c r="B79" s="138">
        <v>14.5</v>
      </c>
      <c r="C79" s="109">
        <v>224</v>
      </c>
      <c r="D79" s="110">
        <v>45945</v>
      </c>
      <c r="E79" s="109">
        <v>240</v>
      </c>
      <c r="F79" s="109">
        <v>16</v>
      </c>
      <c r="G79" s="109">
        <v>82</v>
      </c>
      <c r="H79" s="109">
        <v>195.12</v>
      </c>
      <c r="I79" s="109">
        <v>480.73</v>
      </c>
      <c r="J79" s="107" t="s">
        <v>22</v>
      </c>
    </row>
    <row r="80" spans="1:10" ht="15.6" x14ac:dyDescent="0.3">
      <c r="A80" s="107" t="s">
        <v>133</v>
      </c>
      <c r="B80" s="138">
        <v>14.2</v>
      </c>
      <c r="C80" s="109">
        <v>216</v>
      </c>
      <c r="D80" s="110">
        <v>45945</v>
      </c>
      <c r="E80" s="109">
        <v>234</v>
      </c>
      <c r="F80" s="109">
        <v>18</v>
      </c>
      <c r="G80" s="109">
        <v>82</v>
      </c>
      <c r="H80" s="109">
        <v>219.51</v>
      </c>
      <c r="I80" s="109">
        <v>477.96</v>
      </c>
      <c r="J80" s="107" t="s">
        <v>22</v>
      </c>
    </row>
    <row r="81" spans="1:10" ht="15.6" x14ac:dyDescent="0.3">
      <c r="A81" s="107" t="s">
        <v>132</v>
      </c>
      <c r="B81" s="138">
        <v>13.7</v>
      </c>
      <c r="C81" s="109">
        <v>125</v>
      </c>
      <c r="D81" s="110">
        <v>45945</v>
      </c>
      <c r="E81" s="109">
        <v>130</v>
      </c>
      <c r="F81" s="109">
        <v>5</v>
      </c>
      <c r="G81" s="109">
        <v>82</v>
      </c>
      <c r="H81" s="109">
        <v>60.98</v>
      </c>
      <c r="I81" s="109">
        <v>244.6</v>
      </c>
      <c r="J81" s="107" t="s">
        <v>22</v>
      </c>
    </row>
    <row r="82" spans="1:10" ht="15.6" x14ac:dyDescent="0.3">
      <c r="A82" s="107" t="s">
        <v>218</v>
      </c>
      <c r="B82" s="138">
        <v>13.7</v>
      </c>
      <c r="C82" s="109">
        <v>211</v>
      </c>
      <c r="D82" s="110">
        <v>45945</v>
      </c>
      <c r="E82" s="109">
        <v>220</v>
      </c>
      <c r="F82" s="109">
        <v>9</v>
      </c>
      <c r="G82" s="109">
        <v>82</v>
      </c>
      <c r="H82" s="109">
        <v>109.76</v>
      </c>
      <c r="I82" s="109">
        <v>458.03</v>
      </c>
      <c r="J82" s="107" t="s">
        <v>22</v>
      </c>
    </row>
    <row r="83" spans="1:10" ht="15.6" x14ac:dyDescent="0.3">
      <c r="A83" s="107" t="s">
        <v>131</v>
      </c>
      <c r="B83" s="138">
        <v>9.4</v>
      </c>
      <c r="C83" s="109">
        <v>170</v>
      </c>
      <c r="D83" s="110">
        <v>45992</v>
      </c>
      <c r="E83" s="109">
        <v>160</v>
      </c>
      <c r="F83" s="109">
        <v>-10</v>
      </c>
      <c r="G83" s="109">
        <v>35</v>
      </c>
      <c r="H83" s="109">
        <v>-285.70999999999998</v>
      </c>
      <c r="I83" s="109">
        <v>463.16</v>
      </c>
      <c r="J83" s="107" t="s">
        <v>22</v>
      </c>
    </row>
    <row r="84" spans="1:10" ht="15.6" x14ac:dyDescent="0.3">
      <c r="A84" s="107" t="s">
        <v>115</v>
      </c>
      <c r="B84" s="138">
        <v>7.7</v>
      </c>
      <c r="C84" s="109">
        <v>123</v>
      </c>
      <c r="D84" s="110">
        <v>45959</v>
      </c>
      <c r="E84" s="109">
        <v>154</v>
      </c>
      <c r="F84" s="109">
        <v>31</v>
      </c>
      <c r="G84" s="109">
        <v>68</v>
      </c>
      <c r="H84" s="109">
        <v>455.88</v>
      </c>
      <c r="I84" s="109">
        <v>536.16999999999996</v>
      </c>
      <c r="J84" s="107" t="s">
        <v>22</v>
      </c>
    </row>
    <row r="85" spans="1:10" ht="15.6" x14ac:dyDescent="0.3">
      <c r="A85" s="107" t="s">
        <v>117</v>
      </c>
      <c r="B85" s="138">
        <v>7.4</v>
      </c>
      <c r="C85" s="109">
        <v>164</v>
      </c>
      <c r="D85" s="110">
        <v>45959</v>
      </c>
      <c r="E85" s="109">
        <v>189</v>
      </c>
      <c r="F85" s="109">
        <v>25</v>
      </c>
      <c r="G85" s="109">
        <v>68</v>
      </c>
      <c r="H85" s="109">
        <v>367.65</v>
      </c>
      <c r="I85" s="109">
        <v>712.39</v>
      </c>
      <c r="J85" s="107" t="s">
        <v>22</v>
      </c>
    </row>
    <row r="86" spans="1:10" ht="15.6" x14ac:dyDescent="0.3">
      <c r="A86" s="107" t="s">
        <v>219</v>
      </c>
      <c r="B86" s="138">
        <v>18.600000000000001</v>
      </c>
      <c r="C86" s="109">
        <v>224</v>
      </c>
      <c r="D86" s="110">
        <v>45945</v>
      </c>
      <c r="E86" s="109">
        <v>243</v>
      </c>
      <c r="F86" s="109">
        <v>19</v>
      </c>
      <c r="G86" s="109">
        <v>82</v>
      </c>
      <c r="H86" s="109">
        <v>231.71</v>
      </c>
      <c r="I86" s="109">
        <v>379.19</v>
      </c>
      <c r="J86" s="107" t="s">
        <v>22</v>
      </c>
    </row>
    <row r="87" spans="1:10" ht="15.6" x14ac:dyDescent="0.3">
      <c r="A87" s="143"/>
      <c r="B87" s="144"/>
      <c r="C87" s="145"/>
      <c r="D87" s="146"/>
      <c r="E87" s="145"/>
      <c r="F87" s="145"/>
      <c r="G87" s="145"/>
      <c r="H87" s="145"/>
      <c r="I87" s="145"/>
      <c r="J87" s="143"/>
    </row>
    <row r="88" spans="1:10" ht="45" x14ac:dyDescent="0.3">
      <c r="A88" s="11" t="s">
        <v>150</v>
      </c>
      <c r="B88" s="11" t="s">
        <v>151</v>
      </c>
      <c r="C88" s="11" t="s">
        <v>152</v>
      </c>
      <c r="D88" s="11" t="s">
        <v>153</v>
      </c>
      <c r="E88" s="11" t="s">
        <v>154</v>
      </c>
      <c r="F88" s="11" t="s">
        <v>155</v>
      </c>
      <c r="G88" s="11" t="s">
        <v>156</v>
      </c>
      <c r="H88" s="11" t="s">
        <v>157</v>
      </c>
      <c r="I88" s="11" t="s">
        <v>158</v>
      </c>
      <c r="J88" s="11" t="s">
        <v>159</v>
      </c>
    </row>
    <row r="89" spans="1:10" ht="15.6" x14ac:dyDescent="0.3">
      <c r="A89" s="107" t="s">
        <v>220</v>
      </c>
      <c r="B89" s="138">
        <v>20.3</v>
      </c>
      <c r="C89" s="109">
        <v>245</v>
      </c>
      <c r="D89" s="110">
        <v>45959</v>
      </c>
      <c r="E89" s="109">
        <v>266</v>
      </c>
      <c r="F89" s="109">
        <v>21</v>
      </c>
      <c r="G89" s="109">
        <v>68</v>
      </c>
      <c r="H89" s="109">
        <v>308.82</v>
      </c>
      <c r="I89" s="109">
        <v>386.73</v>
      </c>
      <c r="J89" s="107" t="s">
        <v>24</v>
      </c>
    </row>
    <row r="90" spans="1:10" ht="15.6" x14ac:dyDescent="0.3">
      <c r="A90" s="107" t="s">
        <v>221</v>
      </c>
      <c r="B90" s="138">
        <v>21.5</v>
      </c>
      <c r="C90" s="109">
        <v>249</v>
      </c>
      <c r="D90" s="110">
        <v>45959</v>
      </c>
      <c r="E90" s="109">
        <v>247</v>
      </c>
      <c r="F90" s="109">
        <v>-2</v>
      </c>
      <c r="G90" s="109">
        <v>68</v>
      </c>
      <c r="H90" s="109">
        <v>-29.41</v>
      </c>
      <c r="I90" s="109">
        <v>335.38</v>
      </c>
      <c r="J90" s="107" t="s">
        <v>24</v>
      </c>
    </row>
    <row r="91" spans="1:10" ht="15.6" x14ac:dyDescent="0.3">
      <c r="A91" s="107" t="s">
        <v>222</v>
      </c>
      <c r="B91" s="138">
        <v>21.5</v>
      </c>
      <c r="C91" s="109">
        <v>337</v>
      </c>
      <c r="D91" s="110">
        <v>45959</v>
      </c>
      <c r="E91" s="109">
        <v>348</v>
      </c>
      <c r="F91" s="109">
        <v>11</v>
      </c>
      <c r="G91" s="109">
        <v>68</v>
      </c>
      <c r="H91" s="109">
        <v>161.76</v>
      </c>
      <c r="I91" s="109">
        <v>486.98</v>
      </c>
      <c r="J91" s="107" t="s">
        <v>24</v>
      </c>
    </row>
    <row r="92" spans="1:10" ht="15.6" x14ac:dyDescent="0.3">
      <c r="A92" s="107" t="s">
        <v>223</v>
      </c>
      <c r="B92" s="138">
        <v>21.4</v>
      </c>
      <c r="C92" s="109">
        <v>249</v>
      </c>
      <c r="D92" s="110">
        <v>45959</v>
      </c>
      <c r="E92" s="109">
        <v>265</v>
      </c>
      <c r="F92" s="109">
        <v>16</v>
      </c>
      <c r="G92" s="109">
        <v>68</v>
      </c>
      <c r="H92" s="109">
        <v>235.29</v>
      </c>
      <c r="I92" s="109">
        <v>366.15</v>
      </c>
      <c r="J92" s="107" t="s">
        <v>24</v>
      </c>
    </row>
    <row r="93" spans="1:10" ht="15.6" x14ac:dyDescent="0.3">
      <c r="A93" s="107" t="s">
        <v>224</v>
      </c>
      <c r="B93" s="138">
        <v>20.7</v>
      </c>
      <c r="C93" s="109">
        <v>310</v>
      </c>
      <c r="D93" s="110">
        <v>45959</v>
      </c>
      <c r="E93" s="109">
        <v>330</v>
      </c>
      <c r="F93" s="109">
        <v>20</v>
      </c>
      <c r="G93" s="109">
        <v>68</v>
      </c>
      <c r="H93" s="109">
        <v>294.12</v>
      </c>
      <c r="I93" s="109">
        <v>480.13</v>
      </c>
      <c r="J93" s="107" t="s">
        <v>24</v>
      </c>
    </row>
    <row r="94" spans="1:10" ht="15.6" x14ac:dyDescent="0.3">
      <c r="A94" s="107" t="s">
        <v>225</v>
      </c>
      <c r="B94" s="138">
        <v>18.100000000000001</v>
      </c>
      <c r="C94" s="109">
        <v>308</v>
      </c>
      <c r="D94" s="110">
        <v>45959</v>
      </c>
      <c r="E94" s="109">
        <v>320</v>
      </c>
      <c r="F94" s="109">
        <v>12</v>
      </c>
      <c r="G94" s="109">
        <v>68</v>
      </c>
      <c r="H94" s="109">
        <v>176.47</v>
      </c>
      <c r="I94" s="109">
        <v>528.13</v>
      </c>
      <c r="J94" s="107" t="s">
        <v>24</v>
      </c>
    </row>
    <row r="95" spans="1:10" ht="15.6" x14ac:dyDescent="0.3">
      <c r="A95" s="107" t="s">
        <v>226</v>
      </c>
      <c r="B95" s="138">
        <v>18</v>
      </c>
      <c r="C95" s="109">
        <v>319</v>
      </c>
      <c r="D95" s="110">
        <v>45959</v>
      </c>
      <c r="E95" s="109">
        <v>350</v>
      </c>
      <c r="F95" s="109">
        <v>31</v>
      </c>
      <c r="G95" s="109">
        <v>68</v>
      </c>
      <c r="H95" s="109">
        <v>455.88</v>
      </c>
      <c r="I95" s="109">
        <v>589.41999999999996</v>
      </c>
      <c r="J95" s="107" t="s">
        <v>24</v>
      </c>
    </row>
    <row r="96" spans="1:10" ht="15.6" x14ac:dyDescent="0.3">
      <c r="A96" s="107" t="s">
        <v>227</v>
      </c>
      <c r="B96" s="138">
        <v>17.2</v>
      </c>
      <c r="C96" s="109">
        <v>320</v>
      </c>
      <c r="D96" s="110">
        <v>45959</v>
      </c>
      <c r="E96" s="109">
        <v>350</v>
      </c>
      <c r="F96" s="109">
        <v>30</v>
      </c>
      <c r="G96" s="109">
        <v>68</v>
      </c>
      <c r="H96" s="109">
        <v>441.18</v>
      </c>
      <c r="I96" s="109">
        <v>614.5</v>
      </c>
      <c r="J96" s="107" t="s">
        <v>24</v>
      </c>
    </row>
    <row r="97" spans="1:10" ht="15.6" x14ac:dyDescent="0.3">
      <c r="A97" s="107" t="s">
        <v>228</v>
      </c>
      <c r="B97" s="138">
        <v>17.2</v>
      </c>
      <c r="C97" s="109">
        <v>280</v>
      </c>
      <c r="D97" s="110">
        <v>45959</v>
      </c>
      <c r="E97" s="109">
        <v>300</v>
      </c>
      <c r="F97" s="109">
        <v>20</v>
      </c>
      <c r="G97" s="109">
        <v>68</v>
      </c>
      <c r="H97" s="109">
        <v>294.12</v>
      </c>
      <c r="I97" s="109">
        <v>521.07000000000005</v>
      </c>
      <c r="J97" s="107" t="s">
        <v>24</v>
      </c>
    </row>
    <row r="98" spans="1:10" ht="15.6" x14ac:dyDescent="0.3">
      <c r="A98" s="107" t="s">
        <v>229</v>
      </c>
      <c r="B98" s="138">
        <v>17</v>
      </c>
      <c r="C98" s="109">
        <v>332</v>
      </c>
      <c r="D98" s="110">
        <v>45959</v>
      </c>
      <c r="E98" s="109">
        <v>348</v>
      </c>
      <c r="F98" s="109">
        <v>16</v>
      </c>
      <c r="G98" s="109">
        <v>68</v>
      </c>
      <c r="H98" s="109">
        <v>235.29</v>
      </c>
      <c r="I98" s="109">
        <v>618.22</v>
      </c>
      <c r="J98" s="107" t="s">
        <v>24</v>
      </c>
    </row>
    <row r="99" spans="1:10" ht="15.6" x14ac:dyDescent="0.3">
      <c r="A99" s="107" t="s">
        <v>230</v>
      </c>
      <c r="B99" s="138">
        <v>16.600000000000001</v>
      </c>
      <c r="C99" s="109">
        <v>301</v>
      </c>
      <c r="D99" s="110">
        <v>45959</v>
      </c>
      <c r="E99" s="109">
        <v>337</v>
      </c>
      <c r="F99" s="109">
        <v>36</v>
      </c>
      <c r="G99" s="109">
        <v>68</v>
      </c>
      <c r="H99" s="109">
        <v>529.41</v>
      </c>
      <c r="I99" s="109">
        <v>613.1</v>
      </c>
      <c r="J99" s="107" t="s">
        <v>24</v>
      </c>
    </row>
    <row r="100" spans="1:10" ht="15.6" x14ac:dyDescent="0.3">
      <c r="A100" s="107" t="s">
        <v>231</v>
      </c>
      <c r="B100" s="138">
        <v>14.1</v>
      </c>
      <c r="C100" s="109">
        <v>265</v>
      </c>
      <c r="D100" s="110">
        <v>45959</v>
      </c>
      <c r="E100" s="109">
        <v>273</v>
      </c>
      <c r="F100" s="109">
        <v>8</v>
      </c>
      <c r="G100" s="109">
        <v>68</v>
      </c>
      <c r="H100" s="109">
        <v>117.65</v>
      </c>
      <c r="I100" s="109">
        <v>569.77</v>
      </c>
      <c r="J100" s="107" t="s">
        <v>24</v>
      </c>
    </row>
    <row r="101" spans="1:10" ht="15.6" x14ac:dyDescent="0.3">
      <c r="A101" s="107" t="s">
        <v>232</v>
      </c>
      <c r="B101" s="138">
        <v>13.8</v>
      </c>
      <c r="C101" s="109">
        <v>261</v>
      </c>
      <c r="D101" s="110">
        <v>45959</v>
      </c>
      <c r="E101" s="109">
        <v>275</v>
      </c>
      <c r="F101" s="109">
        <v>14</v>
      </c>
      <c r="G101" s="109">
        <v>68</v>
      </c>
      <c r="H101" s="109">
        <v>205.88</v>
      </c>
      <c r="I101" s="109">
        <v>584.32000000000005</v>
      </c>
      <c r="J101" s="107" t="s">
        <v>24</v>
      </c>
    </row>
    <row r="102" spans="1:10" ht="15.6" x14ac:dyDescent="0.3">
      <c r="A102" s="107" t="s">
        <v>233</v>
      </c>
      <c r="B102" s="138">
        <v>13.8</v>
      </c>
      <c r="C102" s="109">
        <v>249</v>
      </c>
      <c r="D102" s="110">
        <v>45959</v>
      </c>
      <c r="E102" s="109">
        <v>260</v>
      </c>
      <c r="F102" s="109">
        <v>11</v>
      </c>
      <c r="G102" s="109">
        <v>68</v>
      </c>
      <c r="H102" s="109">
        <v>161.76</v>
      </c>
      <c r="I102" s="109">
        <v>553.70000000000005</v>
      </c>
      <c r="J102" s="107" t="s">
        <v>24</v>
      </c>
    </row>
    <row r="103" spans="1:10" ht="15.6" x14ac:dyDescent="0.3">
      <c r="A103" s="107" t="s">
        <v>234</v>
      </c>
      <c r="B103" s="138">
        <v>13.3</v>
      </c>
      <c r="C103" s="109">
        <v>229</v>
      </c>
      <c r="D103" s="110">
        <v>45959</v>
      </c>
      <c r="E103" s="109">
        <v>236</v>
      </c>
      <c r="F103" s="109">
        <v>7</v>
      </c>
      <c r="G103" s="109">
        <v>68</v>
      </c>
      <c r="H103" s="109">
        <v>102.94</v>
      </c>
      <c r="I103" s="109">
        <v>508.64</v>
      </c>
      <c r="J103" s="107" t="s">
        <v>24</v>
      </c>
    </row>
    <row r="104" spans="1:10" ht="15.6" x14ac:dyDescent="0.3">
      <c r="A104" s="107" t="s">
        <v>235</v>
      </c>
      <c r="B104" s="138">
        <v>8.4</v>
      </c>
      <c r="C104" s="109">
        <v>165</v>
      </c>
      <c r="D104" s="110">
        <v>46009</v>
      </c>
      <c r="E104" s="109">
        <v>170</v>
      </c>
      <c r="F104" s="109">
        <v>5</v>
      </c>
      <c r="G104" s="109">
        <v>18</v>
      </c>
      <c r="H104" s="109">
        <v>277.77999999999997</v>
      </c>
      <c r="I104" s="109">
        <v>556.86</v>
      </c>
      <c r="J104" s="107" t="s">
        <v>24</v>
      </c>
    </row>
    <row r="105" spans="1:10" ht="15.6" x14ac:dyDescent="0.3">
      <c r="A105" s="107" t="s">
        <v>109</v>
      </c>
      <c r="B105" s="138">
        <v>7.3</v>
      </c>
      <c r="C105" s="109">
        <v>143</v>
      </c>
      <c r="D105" s="110">
        <v>45959</v>
      </c>
      <c r="E105" s="109">
        <v>179</v>
      </c>
      <c r="F105" s="109">
        <v>36</v>
      </c>
      <c r="G105" s="109">
        <v>68</v>
      </c>
      <c r="H105" s="109">
        <v>529.41</v>
      </c>
      <c r="I105" s="109">
        <v>680.18</v>
      </c>
      <c r="J105" s="107" t="s">
        <v>24</v>
      </c>
    </row>
    <row r="106" spans="1:10" ht="15.6" x14ac:dyDescent="0.3">
      <c r="A106" s="107" t="s">
        <v>111</v>
      </c>
      <c r="B106" s="138">
        <v>7.3</v>
      </c>
      <c r="C106" s="109">
        <v>155</v>
      </c>
      <c r="D106" s="110">
        <v>45959</v>
      </c>
      <c r="E106" s="109">
        <v>190</v>
      </c>
      <c r="F106" s="109">
        <v>35</v>
      </c>
      <c r="G106" s="109">
        <v>68</v>
      </c>
      <c r="H106" s="109">
        <v>514.71</v>
      </c>
      <c r="I106" s="109">
        <v>725.23</v>
      </c>
      <c r="J106" s="107" t="s">
        <v>24</v>
      </c>
    </row>
    <row r="107" spans="1:10" ht="15.6" x14ac:dyDescent="0.3">
      <c r="A107" s="107" t="s">
        <v>113</v>
      </c>
      <c r="B107" s="138">
        <v>7.3</v>
      </c>
      <c r="C107" s="109">
        <v>124</v>
      </c>
      <c r="D107" s="110">
        <v>45959</v>
      </c>
      <c r="E107" s="109">
        <v>160</v>
      </c>
      <c r="F107" s="109">
        <v>36</v>
      </c>
      <c r="G107" s="109">
        <v>68</v>
      </c>
      <c r="H107" s="109">
        <v>529.41</v>
      </c>
      <c r="I107" s="109">
        <v>597.29</v>
      </c>
      <c r="J107" s="107" t="s">
        <v>24</v>
      </c>
    </row>
  </sheetData>
  <pageMargins left="0.7" right="0.7" top="0.75" bottom="0.75" header="0.3" footer="0.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4E5E-14C6-4EFF-9374-54654347C448}">
  <dimension ref="A1:G28"/>
  <sheetViews>
    <sheetView workbookViewId="0"/>
  </sheetViews>
  <sheetFormatPr defaultRowHeight="14.4" x14ac:dyDescent="0.3"/>
  <cols>
    <col min="1" max="1" width="11.5546875" customWidth="1"/>
    <col min="2" max="2" width="15.33203125" customWidth="1"/>
    <col min="3" max="5" width="11.5546875" customWidth="1"/>
    <col min="6" max="6" width="13.109375" customWidth="1"/>
    <col min="7" max="7" width="13" customWidth="1"/>
    <col min="8" max="256" width="11.5546875" customWidth="1"/>
  </cols>
  <sheetData>
    <row r="1" spans="1:7" ht="15.6" x14ac:dyDescent="0.3">
      <c r="A1" s="9" t="s">
        <v>41</v>
      </c>
      <c r="B1" s="9"/>
      <c r="C1" s="9"/>
      <c r="D1" s="9"/>
      <c r="E1" s="9"/>
      <c r="F1" s="9"/>
      <c r="G1" s="9"/>
    </row>
    <row r="2" spans="1:7" ht="15.6" x14ac:dyDescent="0.3">
      <c r="A2" s="9" t="s">
        <v>236</v>
      </c>
      <c r="B2" s="9"/>
      <c r="C2" s="9"/>
      <c r="D2" s="9"/>
      <c r="E2" s="9"/>
      <c r="F2" s="9"/>
      <c r="G2" s="9"/>
    </row>
    <row r="3" spans="1:7" ht="15.6" x14ac:dyDescent="0.3">
      <c r="A3" s="10"/>
      <c r="B3" s="10"/>
      <c r="C3" s="10"/>
      <c r="D3" s="10"/>
      <c r="E3" s="10"/>
      <c r="F3" s="10"/>
      <c r="G3" s="10"/>
    </row>
    <row r="4" spans="1:7" ht="30" x14ac:dyDescent="0.3">
      <c r="A4" s="11" t="s">
        <v>237</v>
      </c>
      <c r="B4" s="11" t="s">
        <v>238</v>
      </c>
      <c r="C4" s="11" t="s">
        <v>239</v>
      </c>
      <c r="D4" s="11" t="s">
        <v>240</v>
      </c>
      <c r="E4" s="11" t="s">
        <v>241</v>
      </c>
      <c r="F4" s="11" t="s">
        <v>242</v>
      </c>
      <c r="G4" s="11" t="s">
        <v>243</v>
      </c>
    </row>
    <row r="5" spans="1:7" ht="15.6" x14ac:dyDescent="0.3">
      <c r="A5" s="106" t="s">
        <v>244</v>
      </c>
      <c r="B5" s="106" t="s">
        <v>245</v>
      </c>
      <c r="C5" s="107" t="s">
        <v>246</v>
      </c>
      <c r="D5" s="108">
        <v>46025</v>
      </c>
      <c r="E5" s="109">
        <v>3</v>
      </c>
      <c r="F5" s="109">
        <v>429</v>
      </c>
      <c r="G5" s="109">
        <v>314</v>
      </c>
    </row>
    <row r="6" spans="1:7" ht="15.6" x14ac:dyDescent="0.3">
      <c r="A6" s="106" t="s">
        <v>247</v>
      </c>
      <c r="B6" s="106" t="s">
        <v>248</v>
      </c>
      <c r="C6" s="107" t="s">
        <v>246</v>
      </c>
      <c r="D6" s="108">
        <v>46066</v>
      </c>
      <c r="E6" s="109">
        <v>3</v>
      </c>
      <c r="F6" s="109">
        <v>515</v>
      </c>
      <c r="G6" s="109">
        <v>273</v>
      </c>
    </row>
    <row r="7" spans="1:7" ht="15.6" x14ac:dyDescent="0.3">
      <c r="A7" s="106" t="s">
        <v>249</v>
      </c>
      <c r="B7" s="106" t="s">
        <v>248</v>
      </c>
      <c r="C7" s="107" t="s">
        <v>246</v>
      </c>
      <c r="D7" s="108">
        <v>46067</v>
      </c>
      <c r="E7" s="109">
        <v>4</v>
      </c>
      <c r="F7" s="109">
        <v>405</v>
      </c>
      <c r="G7" s="109">
        <v>272</v>
      </c>
    </row>
    <row r="8" spans="1:7" ht="15.6" x14ac:dyDescent="0.3">
      <c r="A8" s="106" t="s">
        <v>250</v>
      </c>
      <c r="B8" s="106" t="s">
        <v>251</v>
      </c>
      <c r="C8" s="107" t="s">
        <v>246</v>
      </c>
      <c r="D8" s="108">
        <v>46074</v>
      </c>
      <c r="E8" s="109">
        <v>3</v>
      </c>
      <c r="F8" s="109">
        <v>538</v>
      </c>
      <c r="G8" s="109">
        <v>265</v>
      </c>
    </row>
    <row r="9" spans="1:7" ht="15.6" x14ac:dyDescent="0.3">
      <c r="A9" s="106" t="s">
        <v>252</v>
      </c>
      <c r="B9" s="106" t="s">
        <v>251</v>
      </c>
      <c r="C9" s="107" t="s">
        <v>246</v>
      </c>
      <c r="D9" s="108">
        <v>46086</v>
      </c>
      <c r="E9" s="109">
        <v>1</v>
      </c>
      <c r="F9" s="109"/>
      <c r="G9" s="109">
        <v>253</v>
      </c>
    </row>
    <row r="10" spans="1:7" ht="15.6" x14ac:dyDescent="0.3">
      <c r="A10" s="106" t="s">
        <v>253</v>
      </c>
      <c r="B10" s="106" t="s">
        <v>245</v>
      </c>
      <c r="C10" s="107" t="s">
        <v>246</v>
      </c>
      <c r="D10" s="108">
        <v>46089</v>
      </c>
      <c r="E10" s="109">
        <v>3</v>
      </c>
      <c r="F10" s="109">
        <v>553</v>
      </c>
      <c r="G10" s="109">
        <v>250</v>
      </c>
    </row>
    <row r="11" spans="1:7" x14ac:dyDescent="0.3">
      <c r="A11" s="72"/>
      <c r="B11" s="72"/>
      <c r="C11" s="72"/>
      <c r="D11" s="73"/>
      <c r="E11" s="45"/>
      <c r="F11" s="45"/>
      <c r="G11" s="45"/>
    </row>
    <row r="12" spans="1:7" x14ac:dyDescent="0.3">
      <c r="A12" s="72"/>
      <c r="B12" s="72"/>
      <c r="C12" s="72"/>
      <c r="D12" s="73"/>
      <c r="E12" s="45"/>
      <c r="F12" s="45"/>
      <c r="G12" s="45"/>
    </row>
    <row r="13" spans="1:7" ht="15.6" x14ac:dyDescent="0.3">
      <c r="A13" s="9" t="s">
        <v>41</v>
      </c>
      <c r="B13" s="9"/>
      <c r="C13" s="9"/>
      <c r="D13" s="9"/>
      <c r="E13" s="9"/>
      <c r="F13" s="9"/>
    </row>
    <row r="14" spans="1:7" ht="15.6" x14ac:dyDescent="0.3">
      <c r="A14" s="35" t="s">
        <v>254</v>
      </c>
      <c r="B14" s="35"/>
      <c r="C14" s="35"/>
      <c r="D14" s="35"/>
      <c r="E14" s="35"/>
      <c r="F14" s="35"/>
    </row>
    <row r="15" spans="1:7" ht="15.6" x14ac:dyDescent="0.3">
      <c r="A15" s="10"/>
      <c r="B15" s="10"/>
      <c r="C15" s="10"/>
      <c r="D15" s="10"/>
      <c r="E15" s="10"/>
      <c r="F15" s="10"/>
    </row>
    <row r="16" spans="1:7" ht="30" x14ac:dyDescent="0.3">
      <c r="A16" s="11" t="s">
        <v>237</v>
      </c>
      <c r="B16" s="11" t="s">
        <v>240</v>
      </c>
      <c r="C16" s="11" t="s">
        <v>255</v>
      </c>
      <c r="D16" s="11" t="s">
        <v>43</v>
      </c>
      <c r="E16" s="11" t="s">
        <v>256</v>
      </c>
      <c r="F16" s="11" t="s">
        <v>47</v>
      </c>
      <c r="G16" s="11" t="s">
        <v>257</v>
      </c>
    </row>
    <row r="17" spans="1:7" ht="15.6" x14ac:dyDescent="0.3">
      <c r="A17" s="106" t="s">
        <v>258</v>
      </c>
      <c r="B17" s="108">
        <v>45829</v>
      </c>
      <c r="C17" s="108">
        <v>46069</v>
      </c>
      <c r="D17" s="106" t="s">
        <v>259</v>
      </c>
      <c r="E17" s="107" t="s">
        <v>62</v>
      </c>
      <c r="F17" s="106" t="s">
        <v>105</v>
      </c>
      <c r="G17" s="109">
        <v>225</v>
      </c>
    </row>
    <row r="18" spans="1:7" ht="15.6" x14ac:dyDescent="0.3">
      <c r="A18" s="106" t="s">
        <v>260</v>
      </c>
      <c r="B18" s="108">
        <v>45841</v>
      </c>
      <c r="C18" s="108">
        <v>46081</v>
      </c>
      <c r="D18" s="106" t="s">
        <v>261</v>
      </c>
      <c r="E18" s="107" t="s">
        <v>62</v>
      </c>
      <c r="F18" s="106" t="s">
        <v>75</v>
      </c>
      <c r="G18" s="109">
        <v>213</v>
      </c>
    </row>
    <row r="19" spans="1:7" ht="15.6" x14ac:dyDescent="0.3">
      <c r="A19" s="106" t="s">
        <v>262</v>
      </c>
      <c r="B19" s="108">
        <v>45831</v>
      </c>
      <c r="C19" s="108">
        <v>46071</v>
      </c>
      <c r="D19" s="106" t="s">
        <v>263</v>
      </c>
      <c r="E19" s="107" t="s">
        <v>62</v>
      </c>
      <c r="F19" s="106" t="s">
        <v>60</v>
      </c>
      <c r="G19" s="109">
        <v>223</v>
      </c>
    </row>
    <row r="20" spans="1:7" ht="15.6" x14ac:dyDescent="0.3">
      <c r="A20" s="106" t="s">
        <v>264</v>
      </c>
      <c r="B20" s="108">
        <v>45820</v>
      </c>
      <c r="C20" s="108">
        <v>46060</v>
      </c>
      <c r="D20" s="106" t="s">
        <v>265</v>
      </c>
      <c r="E20" s="107" t="s">
        <v>62</v>
      </c>
      <c r="F20" s="106" t="s">
        <v>75</v>
      </c>
      <c r="G20" s="109">
        <v>234</v>
      </c>
    </row>
    <row r="21" spans="1:7" ht="15.6" x14ac:dyDescent="0.3">
      <c r="A21" s="106" t="s">
        <v>266</v>
      </c>
      <c r="B21" s="108">
        <v>45823</v>
      </c>
      <c r="C21" s="108">
        <v>46063</v>
      </c>
      <c r="D21" s="106" t="s">
        <v>267</v>
      </c>
      <c r="E21" s="107" t="s">
        <v>62</v>
      </c>
      <c r="F21" s="106" t="s">
        <v>75</v>
      </c>
      <c r="G21" s="109">
        <v>231</v>
      </c>
    </row>
    <row r="22" spans="1:7" ht="15.6" x14ac:dyDescent="0.3">
      <c r="A22" s="106" t="s">
        <v>268</v>
      </c>
      <c r="B22" s="108">
        <v>45835</v>
      </c>
      <c r="C22" s="108">
        <v>46075</v>
      </c>
      <c r="D22" s="106" t="s">
        <v>269</v>
      </c>
      <c r="E22" s="107" t="s">
        <v>35</v>
      </c>
      <c r="F22" s="106" t="s">
        <v>105</v>
      </c>
      <c r="G22" s="109">
        <v>219</v>
      </c>
    </row>
    <row r="24" spans="1:7" ht="15.6" x14ac:dyDescent="0.3">
      <c r="A24" s="41" t="s">
        <v>27</v>
      </c>
      <c r="B24" s="43">
        <v>6</v>
      </c>
      <c r="C24" s="37"/>
      <c r="D24" s="38"/>
      <c r="E24" s="38"/>
      <c r="F24" s="36"/>
      <c r="G24" s="39"/>
    </row>
    <row r="25" spans="1:7" ht="15.6" x14ac:dyDescent="0.3">
      <c r="A25" s="74" t="s">
        <v>35</v>
      </c>
      <c r="B25" s="43">
        <v>1</v>
      </c>
      <c r="C25" s="37"/>
      <c r="D25" s="38"/>
      <c r="E25" s="38"/>
      <c r="F25" s="36"/>
      <c r="G25" s="39"/>
    </row>
    <row r="26" spans="1:7" ht="15.6" x14ac:dyDescent="0.3">
      <c r="A26" s="75" t="s">
        <v>62</v>
      </c>
      <c r="B26" s="44">
        <v>5</v>
      </c>
    </row>
    <row r="27" spans="1:7" ht="15.6" x14ac:dyDescent="0.3">
      <c r="A27" s="42"/>
      <c r="B27" s="44"/>
    </row>
    <row r="28" spans="1:7" ht="15.6" x14ac:dyDescent="0.3">
      <c r="A28" s="40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32A1-F2D2-4DBB-AEC0-E06AB1F1D885}">
  <dimension ref="A1:E6"/>
  <sheetViews>
    <sheetView workbookViewId="0">
      <selection activeCell="O20" sqref="O20"/>
    </sheetView>
  </sheetViews>
  <sheetFormatPr defaultRowHeight="14.4" x14ac:dyDescent="0.3"/>
  <cols>
    <col min="1" max="3" width="11.5546875" customWidth="1"/>
    <col min="4" max="4" width="15.21875" customWidth="1"/>
    <col min="5" max="256" width="11.5546875" customWidth="1"/>
  </cols>
  <sheetData>
    <row r="1" spans="1:5" ht="15.6" x14ac:dyDescent="0.3">
      <c r="A1" s="9" t="s">
        <v>41</v>
      </c>
      <c r="B1" s="9"/>
      <c r="C1" s="9"/>
      <c r="D1" s="9"/>
      <c r="E1" s="9"/>
    </row>
    <row r="2" spans="1:5" ht="15.6" x14ac:dyDescent="0.3">
      <c r="A2" s="9" t="s">
        <v>270</v>
      </c>
      <c r="B2" s="9"/>
      <c r="C2" s="9"/>
      <c r="D2" s="9"/>
      <c r="E2" s="9"/>
    </row>
    <row r="3" spans="1:5" ht="15.6" x14ac:dyDescent="0.3">
      <c r="A3" s="10"/>
      <c r="B3" s="10"/>
      <c r="C3" s="10"/>
      <c r="D3" s="10"/>
      <c r="E3" s="10"/>
    </row>
    <row r="4" spans="1:5" ht="15.6" x14ac:dyDescent="0.3">
      <c r="A4" s="46" t="s">
        <v>271</v>
      </c>
      <c r="B4" s="46" t="s">
        <v>272</v>
      </c>
      <c r="C4" s="46" t="s">
        <v>273</v>
      </c>
      <c r="D4" s="46" t="s">
        <v>274</v>
      </c>
      <c r="E4" s="46" t="s">
        <v>275</v>
      </c>
    </row>
    <row r="5" spans="1:5" ht="15.6" x14ac:dyDescent="0.3">
      <c r="A5" s="106" t="s">
        <v>276</v>
      </c>
      <c r="B5" s="109">
        <v>1</v>
      </c>
      <c r="C5" s="108">
        <v>46032</v>
      </c>
      <c r="D5" s="106" t="s">
        <v>52</v>
      </c>
      <c r="E5" s="107" t="s">
        <v>53</v>
      </c>
    </row>
    <row r="6" spans="1:5" ht="15.6" x14ac:dyDescent="0.3">
      <c r="A6" s="106" t="s">
        <v>258</v>
      </c>
      <c r="B6" s="109">
        <v>1</v>
      </c>
      <c r="C6" s="108">
        <v>46046</v>
      </c>
      <c r="D6" s="106" t="s">
        <v>105</v>
      </c>
      <c r="E6" s="107" t="s">
        <v>53</v>
      </c>
    </row>
  </sheetData>
  <pageMargins left="0.7" right="0.7" top="0.75" bottom="0.75" header="0.3" footer="0.3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41CF5-DB9B-4BBF-9C25-D5279727C589}">
  <dimension ref="A1:D70"/>
  <sheetViews>
    <sheetView workbookViewId="0">
      <selection activeCell="A2" sqref="A2"/>
    </sheetView>
  </sheetViews>
  <sheetFormatPr defaultRowHeight="14.4" x14ac:dyDescent="0.3"/>
  <cols>
    <col min="1" max="1" width="36.21875" customWidth="1"/>
    <col min="2" max="2" width="11.5546875" customWidth="1"/>
    <col min="3" max="3" width="13.77734375" customWidth="1"/>
    <col min="4" max="256" width="11.5546875" customWidth="1"/>
  </cols>
  <sheetData>
    <row r="1" spans="1:4" ht="17.399999999999999" x14ac:dyDescent="0.3">
      <c r="A1" s="12" t="s">
        <v>41</v>
      </c>
      <c r="B1" s="13"/>
      <c r="C1" s="13"/>
      <c r="D1" s="14"/>
    </row>
    <row r="2" spans="1:4" ht="17.399999999999999" x14ac:dyDescent="0.3">
      <c r="A2" s="15" t="s">
        <v>277</v>
      </c>
      <c r="B2" s="16"/>
      <c r="C2" s="16"/>
      <c r="D2" s="17"/>
    </row>
    <row r="3" spans="1:4" ht="15.6" x14ac:dyDescent="0.3">
      <c r="A3" s="4"/>
      <c r="B3" s="4"/>
      <c r="C3" s="4"/>
      <c r="D3" s="4"/>
    </row>
    <row r="4" spans="1:4" ht="30" x14ac:dyDescent="0.3">
      <c r="A4" s="8" t="s">
        <v>278</v>
      </c>
      <c r="B4" s="8" t="s">
        <v>279</v>
      </c>
      <c r="C4" s="8" t="s">
        <v>280</v>
      </c>
      <c r="D4" s="8" t="s">
        <v>281</v>
      </c>
    </row>
    <row r="5" spans="1:4" ht="15.6" x14ac:dyDescent="0.3">
      <c r="A5" s="18" t="s">
        <v>282</v>
      </c>
      <c r="B5" s="19">
        <f>B6+B7+B8</f>
        <v>30</v>
      </c>
      <c r="C5" s="19">
        <v>17</v>
      </c>
      <c r="D5" s="19">
        <v>20</v>
      </c>
    </row>
    <row r="6" spans="1:4" ht="15.6" x14ac:dyDescent="0.3">
      <c r="A6" s="20" t="s">
        <v>283</v>
      </c>
      <c r="B6" s="21">
        <v>23</v>
      </c>
      <c r="C6" s="21">
        <v>77</v>
      </c>
      <c r="D6" s="21">
        <v>12</v>
      </c>
    </row>
    <row r="7" spans="1:4" ht="15.6" x14ac:dyDescent="0.3">
      <c r="A7" s="20" t="s">
        <v>284</v>
      </c>
      <c r="B7" s="21">
        <v>3</v>
      </c>
      <c r="C7" s="21">
        <v>10</v>
      </c>
      <c r="D7" s="21">
        <v>2</v>
      </c>
    </row>
    <row r="8" spans="1:4" ht="15.6" x14ac:dyDescent="0.3">
      <c r="A8" s="20" t="s">
        <v>285</v>
      </c>
      <c r="B8" s="21">
        <v>4</v>
      </c>
      <c r="C8" s="21">
        <v>13</v>
      </c>
      <c r="D8" s="21">
        <v>6</v>
      </c>
    </row>
    <row r="9" spans="1:4" ht="15.6" x14ac:dyDescent="0.3">
      <c r="A9" s="22"/>
      <c r="B9" s="23"/>
      <c r="C9" s="23"/>
      <c r="D9" s="24"/>
    </row>
    <row r="10" spans="1:4" ht="15.6" x14ac:dyDescent="0.3">
      <c r="A10" s="18" t="s">
        <v>286</v>
      </c>
      <c r="B10" s="19">
        <f>B11+B12+B13+B14+B15</f>
        <v>145</v>
      </c>
      <c r="C10" s="19">
        <v>83</v>
      </c>
      <c r="D10" s="19">
        <v>125</v>
      </c>
    </row>
    <row r="11" spans="1:4" ht="15.6" x14ac:dyDescent="0.3">
      <c r="A11" s="20" t="s">
        <v>287</v>
      </c>
      <c r="B11" s="21">
        <v>45</v>
      </c>
      <c r="C11" s="21">
        <v>31</v>
      </c>
      <c r="D11" s="21">
        <v>45</v>
      </c>
    </row>
    <row r="12" spans="1:4" ht="15.6" x14ac:dyDescent="0.3">
      <c r="A12" s="20" t="s">
        <v>288</v>
      </c>
      <c r="B12" s="21">
        <v>22</v>
      </c>
      <c r="C12" s="21">
        <v>16</v>
      </c>
      <c r="D12" s="21">
        <v>11</v>
      </c>
    </row>
    <row r="13" spans="1:4" ht="15.6" x14ac:dyDescent="0.3">
      <c r="A13" s="20" t="s">
        <v>289</v>
      </c>
      <c r="B13" s="21">
        <v>42</v>
      </c>
      <c r="C13" s="21">
        <v>29</v>
      </c>
      <c r="D13" s="21">
        <v>42</v>
      </c>
    </row>
    <row r="14" spans="1:4" ht="15.6" x14ac:dyDescent="0.3">
      <c r="A14" s="20" t="s">
        <v>290</v>
      </c>
      <c r="B14" s="21">
        <v>27</v>
      </c>
      <c r="C14" s="21">
        <v>19</v>
      </c>
      <c r="D14" s="21">
        <v>18</v>
      </c>
    </row>
    <row r="15" spans="1:4" ht="15.6" x14ac:dyDescent="0.3">
      <c r="A15" s="20" t="s">
        <v>291</v>
      </c>
      <c r="B15" s="21">
        <v>9</v>
      </c>
      <c r="C15" s="21">
        <v>6</v>
      </c>
      <c r="D15" s="21">
        <v>9</v>
      </c>
    </row>
    <row r="16" spans="1:4" ht="15.6" x14ac:dyDescent="0.3">
      <c r="A16" s="25"/>
      <c r="B16" s="26"/>
      <c r="C16" s="26"/>
      <c r="D16" s="27"/>
    </row>
    <row r="17" spans="1:4" ht="15.6" x14ac:dyDescent="0.3">
      <c r="A17" s="18" t="s">
        <v>292</v>
      </c>
      <c r="B17" s="19">
        <f>B5+B10</f>
        <v>175</v>
      </c>
      <c r="C17" s="19">
        <f>C5+C10</f>
        <v>100</v>
      </c>
      <c r="D17" s="19">
        <f>D5+D10</f>
        <v>145</v>
      </c>
    </row>
    <row r="20" spans="1:4" ht="17.399999999999999" x14ac:dyDescent="0.3">
      <c r="A20" s="28" t="s">
        <v>41</v>
      </c>
      <c r="B20" s="29"/>
      <c r="C20" s="30"/>
    </row>
    <row r="21" spans="1:4" ht="17.399999999999999" x14ac:dyDescent="0.3">
      <c r="A21" s="31" t="s">
        <v>293</v>
      </c>
      <c r="B21" s="32"/>
      <c r="C21" s="33"/>
    </row>
    <row r="22" spans="1:4" ht="15.6" x14ac:dyDescent="0.3">
      <c r="A22" s="4"/>
      <c r="B22" s="4"/>
      <c r="C22" s="4"/>
    </row>
    <row r="23" spans="1:4" ht="15" x14ac:dyDescent="0.3">
      <c r="A23" s="8" t="s">
        <v>294</v>
      </c>
      <c r="B23" s="8" t="s">
        <v>295</v>
      </c>
      <c r="C23" s="8" t="s">
        <v>280</v>
      </c>
    </row>
    <row r="24" spans="1:4" ht="15.6" x14ac:dyDescent="0.3">
      <c r="A24" s="18" t="s">
        <v>287</v>
      </c>
      <c r="B24" s="19">
        <f>B25+B26</f>
        <v>45</v>
      </c>
      <c r="C24" s="19">
        <v>47</v>
      </c>
    </row>
    <row r="25" spans="1:4" ht="15.6" x14ac:dyDescent="0.3">
      <c r="A25" s="20" t="s">
        <v>296</v>
      </c>
      <c r="B25" s="21">
        <v>30</v>
      </c>
      <c r="C25" s="21">
        <v>67</v>
      </c>
    </row>
    <row r="26" spans="1:4" ht="15.6" x14ac:dyDescent="0.3">
      <c r="A26" s="20" t="s">
        <v>297</v>
      </c>
      <c r="B26" s="21">
        <v>15</v>
      </c>
      <c r="C26" s="21">
        <v>33</v>
      </c>
    </row>
    <row r="27" spans="1:4" ht="15.6" x14ac:dyDescent="0.3">
      <c r="A27" s="22"/>
      <c r="B27" s="23"/>
      <c r="C27" s="24"/>
    </row>
    <row r="28" spans="1:4" ht="15.6" x14ac:dyDescent="0.3">
      <c r="A28" s="18" t="s">
        <v>289</v>
      </c>
      <c r="B28" s="19">
        <f>B29+B30</f>
        <v>42</v>
      </c>
      <c r="C28" s="19">
        <v>44</v>
      </c>
    </row>
    <row r="29" spans="1:4" ht="15.6" x14ac:dyDescent="0.3">
      <c r="A29" s="20" t="s">
        <v>296</v>
      </c>
      <c r="B29" s="21">
        <v>2</v>
      </c>
      <c r="C29" s="21">
        <v>5</v>
      </c>
    </row>
    <row r="30" spans="1:4" ht="15.6" x14ac:dyDescent="0.3">
      <c r="A30" s="20" t="s">
        <v>297</v>
      </c>
      <c r="B30" s="21">
        <v>40</v>
      </c>
      <c r="C30" s="21">
        <v>95</v>
      </c>
    </row>
    <row r="31" spans="1:4" ht="15.6" x14ac:dyDescent="0.3">
      <c r="A31" s="25"/>
      <c r="B31" s="26"/>
      <c r="C31" s="27"/>
    </row>
    <row r="32" spans="1:4" ht="15.6" x14ac:dyDescent="0.3">
      <c r="A32" s="18" t="s">
        <v>291</v>
      </c>
      <c r="B32" s="19">
        <v>9</v>
      </c>
      <c r="C32" s="19">
        <v>9</v>
      </c>
    </row>
    <row r="33" spans="1:4" ht="15.6" x14ac:dyDescent="0.3">
      <c r="A33" s="20" t="s">
        <v>296</v>
      </c>
      <c r="B33" s="21">
        <v>0</v>
      </c>
      <c r="C33" s="21">
        <v>0</v>
      </c>
    </row>
    <row r="34" spans="1:4" ht="15.6" x14ac:dyDescent="0.3">
      <c r="A34" s="20" t="s">
        <v>297</v>
      </c>
      <c r="B34" s="21">
        <v>9</v>
      </c>
      <c r="C34" s="21">
        <v>100</v>
      </c>
    </row>
    <row r="35" spans="1:4" ht="15.6" x14ac:dyDescent="0.3">
      <c r="A35" s="34"/>
      <c r="B35" s="23"/>
      <c r="C35" s="23"/>
    </row>
    <row r="37" spans="1:4" ht="17.399999999999999" x14ac:dyDescent="0.3">
      <c r="A37" s="12" t="s">
        <v>41</v>
      </c>
      <c r="B37" s="13"/>
      <c r="C37" s="13"/>
      <c r="D37" s="14"/>
    </row>
    <row r="38" spans="1:4" ht="17.399999999999999" x14ac:dyDescent="0.3">
      <c r="A38" s="15" t="s">
        <v>298</v>
      </c>
      <c r="B38" s="16"/>
      <c r="C38" s="16"/>
      <c r="D38" s="17"/>
    </row>
    <row r="39" spans="1:4" ht="15.6" x14ac:dyDescent="0.3">
      <c r="A39" s="4"/>
      <c r="B39" s="4"/>
      <c r="C39" s="4"/>
      <c r="D39" s="4"/>
    </row>
    <row r="40" spans="1:4" ht="30" x14ac:dyDescent="0.3">
      <c r="A40" s="8" t="s">
        <v>278</v>
      </c>
      <c r="B40" s="8" t="s">
        <v>279</v>
      </c>
      <c r="C40" s="8" t="s">
        <v>280</v>
      </c>
      <c r="D40" s="8" t="s">
        <v>281</v>
      </c>
    </row>
    <row r="41" spans="1:4" ht="15.6" x14ac:dyDescent="0.3">
      <c r="A41" s="18" t="s">
        <v>282</v>
      </c>
      <c r="B41" s="19">
        <f>B42+B43+B44</f>
        <v>30</v>
      </c>
      <c r="C41" s="19">
        <v>31</v>
      </c>
      <c r="D41" s="19">
        <v>19</v>
      </c>
    </row>
    <row r="42" spans="1:4" ht="15.6" x14ac:dyDescent="0.3">
      <c r="A42" s="20" t="s">
        <v>283</v>
      </c>
      <c r="B42" s="21">
        <v>0</v>
      </c>
      <c r="C42" s="21">
        <v>0</v>
      </c>
      <c r="D42" s="21">
        <v>0</v>
      </c>
    </row>
    <row r="43" spans="1:4" ht="15.6" x14ac:dyDescent="0.3">
      <c r="A43" s="20" t="s">
        <v>284</v>
      </c>
      <c r="B43" s="21">
        <v>30</v>
      </c>
      <c r="C43" s="21">
        <v>100</v>
      </c>
      <c r="D43" s="21">
        <v>19</v>
      </c>
    </row>
    <row r="44" spans="1:4" ht="15.6" x14ac:dyDescent="0.3">
      <c r="A44" s="20" t="s">
        <v>285</v>
      </c>
      <c r="B44" s="21">
        <v>0</v>
      </c>
      <c r="C44" s="21">
        <v>0</v>
      </c>
      <c r="D44" s="21">
        <v>0</v>
      </c>
    </row>
    <row r="45" spans="1:4" ht="15.6" x14ac:dyDescent="0.3">
      <c r="A45" s="22"/>
      <c r="B45" s="23"/>
      <c r="C45" s="23"/>
      <c r="D45" s="24"/>
    </row>
    <row r="46" spans="1:4" ht="15.6" x14ac:dyDescent="0.3">
      <c r="A46" s="18" t="s">
        <v>286</v>
      </c>
      <c r="B46" s="19">
        <f>B47+B48+B49+B50+B51</f>
        <v>67</v>
      </c>
      <c r="C46" s="19">
        <v>69</v>
      </c>
      <c r="D46" s="19">
        <v>63</v>
      </c>
    </row>
    <row r="47" spans="1:4" ht="15.6" x14ac:dyDescent="0.3">
      <c r="A47" s="20" t="s">
        <v>287</v>
      </c>
      <c r="B47" s="21">
        <v>3</v>
      </c>
      <c r="C47" s="21">
        <v>4</v>
      </c>
      <c r="D47" s="21">
        <v>3</v>
      </c>
    </row>
    <row r="48" spans="1:4" ht="15.6" x14ac:dyDescent="0.3">
      <c r="A48" s="20" t="s">
        <v>288</v>
      </c>
      <c r="B48" s="21">
        <v>3</v>
      </c>
      <c r="C48" s="21">
        <v>4</v>
      </c>
      <c r="D48" s="21">
        <v>2</v>
      </c>
    </row>
    <row r="49" spans="1:4" ht="15.6" x14ac:dyDescent="0.3">
      <c r="A49" s="20" t="s">
        <v>289</v>
      </c>
      <c r="B49" s="21">
        <v>8</v>
      </c>
      <c r="C49" s="21">
        <v>12</v>
      </c>
      <c r="D49" s="21">
        <v>8</v>
      </c>
    </row>
    <row r="50" spans="1:4" ht="15.6" x14ac:dyDescent="0.3">
      <c r="A50" s="20" t="s">
        <v>290</v>
      </c>
      <c r="B50" s="21">
        <v>10</v>
      </c>
      <c r="C50" s="21">
        <v>15</v>
      </c>
      <c r="D50" s="21">
        <v>8</v>
      </c>
    </row>
    <row r="51" spans="1:4" ht="15.6" x14ac:dyDescent="0.3">
      <c r="A51" s="20" t="s">
        <v>291</v>
      </c>
      <c r="B51" s="21">
        <v>43</v>
      </c>
      <c r="C51" s="21">
        <v>64</v>
      </c>
      <c r="D51" s="21">
        <v>43</v>
      </c>
    </row>
    <row r="52" spans="1:4" ht="15.6" x14ac:dyDescent="0.3">
      <c r="A52" s="25"/>
      <c r="B52" s="26"/>
      <c r="C52" s="26"/>
      <c r="D52" s="27"/>
    </row>
    <row r="53" spans="1:4" ht="15.6" x14ac:dyDescent="0.3">
      <c r="A53" s="18" t="s">
        <v>292</v>
      </c>
      <c r="B53" s="19">
        <f>B41+B46</f>
        <v>97</v>
      </c>
      <c r="C53" s="19">
        <v>100</v>
      </c>
      <c r="D53" s="19">
        <f>D41+D46</f>
        <v>82</v>
      </c>
    </row>
    <row r="56" spans="1:4" ht="17.399999999999999" x14ac:dyDescent="0.3">
      <c r="A56" s="28" t="s">
        <v>41</v>
      </c>
      <c r="B56" s="29"/>
      <c r="C56" s="30"/>
    </row>
    <row r="57" spans="1:4" ht="17.399999999999999" x14ac:dyDescent="0.3">
      <c r="A57" s="31" t="s">
        <v>293</v>
      </c>
      <c r="B57" s="32"/>
      <c r="C57" s="33"/>
    </row>
    <row r="58" spans="1:4" ht="15.6" x14ac:dyDescent="0.3">
      <c r="A58" s="4"/>
      <c r="B58" s="4"/>
      <c r="C58" s="4"/>
    </row>
    <row r="59" spans="1:4" ht="15" x14ac:dyDescent="0.3">
      <c r="A59" s="8" t="s">
        <v>294</v>
      </c>
      <c r="B59" s="8" t="s">
        <v>295</v>
      </c>
      <c r="C59" s="8" t="s">
        <v>280</v>
      </c>
    </row>
    <row r="60" spans="1:4" ht="15.6" x14ac:dyDescent="0.3">
      <c r="A60" s="18" t="s">
        <v>287</v>
      </c>
      <c r="B60" s="19">
        <f>B61+B62</f>
        <v>3</v>
      </c>
      <c r="C60" s="19">
        <v>6</v>
      </c>
    </row>
    <row r="61" spans="1:4" ht="15.6" x14ac:dyDescent="0.3">
      <c r="A61" s="20" t="s">
        <v>296</v>
      </c>
      <c r="B61" s="21">
        <v>3</v>
      </c>
      <c r="C61" s="21">
        <v>100</v>
      </c>
    </row>
    <row r="62" spans="1:4" ht="15.6" x14ac:dyDescent="0.3">
      <c r="A62" s="20" t="s">
        <v>297</v>
      </c>
      <c r="B62" s="21">
        <v>0</v>
      </c>
      <c r="C62" s="21">
        <v>0</v>
      </c>
    </row>
    <row r="63" spans="1:4" ht="15.6" x14ac:dyDescent="0.3">
      <c r="A63" s="22"/>
      <c r="B63" s="23"/>
      <c r="C63" s="24"/>
    </row>
    <row r="64" spans="1:4" ht="15.6" x14ac:dyDescent="0.3">
      <c r="A64" s="18" t="s">
        <v>289</v>
      </c>
      <c r="B64" s="19">
        <f>B65+B66</f>
        <v>8</v>
      </c>
      <c r="C64" s="19">
        <v>15</v>
      </c>
    </row>
    <row r="65" spans="1:3" ht="15.6" x14ac:dyDescent="0.3">
      <c r="A65" s="20" t="s">
        <v>296</v>
      </c>
      <c r="B65" s="21">
        <v>6</v>
      </c>
      <c r="C65" s="21">
        <v>75</v>
      </c>
    </row>
    <row r="66" spans="1:3" ht="15.6" x14ac:dyDescent="0.3">
      <c r="A66" s="20" t="s">
        <v>297</v>
      </c>
      <c r="B66" s="21">
        <v>2</v>
      </c>
      <c r="C66" s="21">
        <v>25</v>
      </c>
    </row>
    <row r="67" spans="1:3" ht="15.6" x14ac:dyDescent="0.3">
      <c r="A67" s="25"/>
      <c r="B67" s="26"/>
      <c r="C67" s="27"/>
    </row>
    <row r="68" spans="1:3" ht="15.6" x14ac:dyDescent="0.3">
      <c r="A68" s="18" t="s">
        <v>291</v>
      </c>
      <c r="B68" s="19">
        <f>B69+B70</f>
        <v>43</v>
      </c>
      <c r="C68" s="19">
        <v>80</v>
      </c>
    </row>
    <row r="69" spans="1:3" ht="15.6" x14ac:dyDescent="0.3">
      <c r="A69" s="20" t="s">
        <v>296</v>
      </c>
      <c r="B69" s="21">
        <v>36</v>
      </c>
      <c r="C69" s="21">
        <v>84</v>
      </c>
    </row>
    <row r="70" spans="1:3" ht="15.6" x14ac:dyDescent="0.3">
      <c r="A70" s="20" t="s">
        <v>297</v>
      </c>
      <c r="B70" s="21">
        <v>7</v>
      </c>
      <c r="C70" s="21">
        <v>16</v>
      </c>
    </row>
  </sheetData>
  <pageMargins left="0.7" right="0.7" top="0.75" bottom="0.75" header="0.3" footer="0.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AC76-8F4A-4182-9029-B61BF6362A1E}">
  <dimension ref="A1:G15"/>
  <sheetViews>
    <sheetView workbookViewId="0">
      <selection activeCell="K6" sqref="K6"/>
    </sheetView>
  </sheetViews>
  <sheetFormatPr defaultRowHeight="14.4" x14ac:dyDescent="0.3"/>
  <cols>
    <col min="1" max="1" width="11.5546875" customWidth="1"/>
    <col min="2" max="2" width="15.6640625" customWidth="1"/>
    <col min="3" max="4" width="11.5546875" customWidth="1"/>
    <col min="5" max="5" width="11.77734375" customWidth="1"/>
    <col min="6" max="256" width="11.5546875" customWidth="1"/>
  </cols>
  <sheetData>
    <row r="1" spans="1:7" ht="15.6" x14ac:dyDescent="0.3">
      <c r="A1" s="9" t="s">
        <v>41</v>
      </c>
      <c r="B1" s="9"/>
      <c r="C1" s="9"/>
      <c r="D1" s="9"/>
      <c r="E1" s="9"/>
      <c r="F1" s="9"/>
      <c r="G1" s="9"/>
    </row>
    <row r="2" spans="1:7" ht="15.6" x14ac:dyDescent="0.3">
      <c r="A2" s="9" t="s">
        <v>299</v>
      </c>
      <c r="B2" s="9"/>
      <c r="C2" s="9"/>
      <c r="D2" s="9"/>
      <c r="E2" s="9"/>
      <c r="F2" s="9"/>
      <c r="G2" s="9"/>
    </row>
    <row r="3" spans="1:7" ht="15.6" x14ac:dyDescent="0.3">
      <c r="A3" s="10"/>
      <c r="B3" s="10"/>
      <c r="C3" s="10"/>
      <c r="D3" s="10"/>
      <c r="E3" s="10"/>
      <c r="F3" s="10"/>
      <c r="G3" s="10"/>
    </row>
    <row r="4" spans="1:7" ht="37.5" customHeight="1" x14ac:dyDescent="0.3">
      <c r="A4" s="11" t="s">
        <v>150</v>
      </c>
      <c r="B4" s="11" t="s">
        <v>125</v>
      </c>
      <c r="C4" s="11" t="s">
        <v>300</v>
      </c>
      <c r="D4" s="11" t="s">
        <v>301</v>
      </c>
      <c r="E4" s="11" t="s">
        <v>302</v>
      </c>
      <c r="F4" s="11" t="s">
        <v>124</v>
      </c>
      <c r="G4" s="11" t="s">
        <v>151</v>
      </c>
    </row>
    <row r="5" spans="1:7" ht="15.6" x14ac:dyDescent="0.3">
      <c r="A5" s="132" t="s">
        <v>303</v>
      </c>
      <c r="B5" s="132" t="s">
        <v>304</v>
      </c>
      <c r="C5" s="135">
        <v>46050</v>
      </c>
      <c r="D5" s="133" t="s">
        <v>305</v>
      </c>
      <c r="E5" s="133" t="s">
        <v>306</v>
      </c>
      <c r="F5" s="131">
        <v>214</v>
      </c>
      <c r="G5" s="134">
        <v>9.07</v>
      </c>
    </row>
    <row r="6" spans="1:7" ht="15.6" x14ac:dyDescent="0.3">
      <c r="A6" s="132" t="s">
        <v>307</v>
      </c>
      <c r="B6" s="132" t="s">
        <v>304</v>
      </c>
      <c r="C6" s="135">
        <v>46050</v>
      </c>
      <c r="D6" s="133" t="s">
        <v>305</v>
      </c>
      <c r="E6" s="133" t="s">
        <v>306</v>
      </c>
      <c r="F6" s="131">
        <v>318</v>
      </c>
      <c r="G6" s="134">
        <v>19.2</v>
      </c>
    </row>
    <row r="7" spans="1:7" ht="15.6" x14ac:dyDescent="0.3">
      <c r="A7" s="132" t="s">
        <v>308</v>
      </c>
      <c r="B7" s="132" t="s">
        <v>304</v>
      </c>
      <c r="C7" s="135">
        <v>46050</v>
      </c>
      <c r="D7" s="133" t="s">
        <v>305</v>
      </c>
      <c r="E7" s="133" t="s">
        <v>306</v>
      </c>
      <c r="F7" s="131">
        <v>258</v>
      </c>
      <c r="G7" s="134">
        <v>11.97</v>
      </c>
    </row>
    <row r="8" spans="1:7" ht="15.6" x14ac:dyDescent="0.3">
      <c r="A8" s="132" t="s">
        <v>309</v>
      </c>
      <c r="B8" s="132" t="s">
        <v>304</v>
      </c>
      <c r="C8" s="135">
        <v>46050</v>
      </c>
      <c r="D8" s="133" t="s">
        <v>305</v>
      </c>
      <c r="E8" s="133" t="s">
        <v>306</v>
      </c>
      <c r="F8" s="131">
        <v>197</v>
      </c>
      <c r="G8" s="134">
        <v>9.5299999999999994</v>
      </c>
    </row>
    <row r="9" spans="1:7" ht="15.6" x14ac:dyDescent="0.3">
      <c r="A9" s="132" t="s">
        <v>88</v>
      </c>
      <c r="B9" s="132" t="s">
        <v>304</v>
      </c>
      <c r="C9" s="135">
        <v>46050</v>
      </c>
      <c r="D9" s="133" t="s">
        <v>305</v>
      </c>
      <c r="E9" s="133" t="s">
        <v>306</v>
      </c>
      <c r="F9" s="131">
        <v>243</v>
      </c>
      <c r="G9" s="134">
        <v>8.3800000000000008</v>
      </c>
    </row>
    <row r="10" spans="1:7" ht="15.6" x14ac:dyDescent="0.3">
      <c r="A10" s="132" t="s">
        <v>90</v>
      </c>
      <c r="B10" s="132" t="s">
        <v>304</v>
      </c>
      <c r="C10" s="135">
        <v>46050</v>
      </c>
      <c r="D10" s="133" t="s">
        <v>305</v>
      </c>
      <c r="E10" s="133" t="s">
        <v>306</v>
      </c>
      <c r="F10" s="131">
        <v>224</v>
      </c>
      <c r="G10" s="134">
        <v>8.3800000000000008</v>
      </c>
    </row>
    <row r="11" spans="1:7" ht="15.6" x14ac:dyDescent="0.3">
      <c r="A11" s="132" t="s">
        <v>92</v>
      </c>
      <c r="B11" s="132" t="s">
        <v>304</v>
      </c>
      <c r="C11" s="135">
        <v>46050</v>
      </c>
      <c r="D11" s="133" t="s">
        <v>305</v>
      </c>
      <c r="E11" s="133" t="s">
        <v>306</v>
      </c>
      <c r="F11" s="131">
        <v>203</v>
      </c>
      <c r="G11" s="134">
        <v>8.32</v>
      </c>
    </row>
    <row r="12" spans="1:7" ht="15.6" x14ac:dyDescent="0.3">
      <c r="A12" s="132" t="s">
        <v>94</v>
      </c>
      <c r="B12" s="132" t="s">
        <v>304</v>
      </c>
      <c r="C12" s="135">
        <v>46050</v>
      </c>
      <c r="D12" s="133" t="s">
        <v>305</v>
      </c>
      <c r="E12" s="133" t="s">
        <v>306</v>
      </c>
      <c r="F12" s="131">
        <v>248</v>
      </c>
      <c r="G12" s="134">
        <v>8.32</v>
      </c>
    </row>
    <row r="13" spans="1:7" ht="15.6" x14ac:dyDescent="0.3">
      <c r="A13" s="132" t="s">
        <v>96</v>
      </c>
      <c r="B13" s="132" t="s">
        <v>304</v>
      </c>
      <c r="C13" s="135">
        <v>46050</v>
      </c>
      <c r="D13" s="133" t="s">
        <v>305</v>
      </c>
      <c r="E13" s="133" t="s">
        <v>306</v>
      </c>
      <c r="F13" s="131">
        <v>222</v>
      </c>
      <c r="G13" s="134">
        <v>8.2799999999999994</v>
      </c>
    </row>
    <row r="14" spans="1:7" ht="15.6" x14ac:dyDescent="0.3">
      <c r="A14" s="132" t="s">
        <v>98</v>
      </c>
      <c r="B14" s="132" t="s">
        <v>304</v>
      </c>
      <c r="C14" s="135">
        <v>46050</v>
      </c>
      <c r="D14" s="133" t="s">
        <v>305</v>
      </c>
      <c r="E14" s="133" t="s">
        <v>306</v>
      </c>
      <c r="F14" s="131">
        <v>230</v>
      </c>
      <c r="G14" s="134">
        <v>8.25</v>
      </c>
    </row>
    <row r="15" spans="1:7" ht="15.6" x14ac:dyDescent="0.3">
      <c r="A15" s="132" t="s">
        <v>101</v>
      </c>
      <c r="B15" s="132" t="s">
        <v>304</v>
      </c>
      <c r="C15" s="135">
        <v>46050</v>
      </c>
      <c r="D15" s="133" t="s">
        <v>305</v>
      </c>
      <c r="E15" s="133" t="s">
        <v>306</v>
      </c>
      <c r="F15" s="131">
        <v>267</v>
      </c>
      <c r="G15" s="134">
        <v>8.19</v>
      </c>
    </row>
  </sheetData>
  <pageMargins left="0.7" right="0.7" top="0.75" bottom="0.75" header="0.3" footer="0.3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6140A-D55A-49AF-B302-D7C0BAF2FECA}">
  <dimension ref="A1:I25"/>
  <sheetViews>
    <sheetView topLeftCell="B1" workbookViewId="0">
      <selection activeCell="L1" sqref="L1"/>
    </sheetView>
  </sheetViews>
  <sheetFormatPr defaultRowHeight="14.4" x14ac:dyDescent="0.3"/>
  <cols>
    <col min="1" max="1" width="34.21875" customWidth="1"/>
    <col min="2" max="2" width="14.77734375" customWidth="1"/>
    <col min="3" max="4" width="11.5546875" customWidth="1"/>
    <col min="5" max="5" width="4.109375" customWidth="1"/>
    <col min="6" max="6" width="31.44140625" customWidth="1"/>
    <col min="7" max="7" width="13.77734375" customWidth="1"/>
    <col min="8" max="256" width="11.5546875" customWidth="1"/>
  </cols>
  <sheetData>
    <row r="1" spans="1:9" ht="15.6" x14ac:dyDescent="0.3">
      <c r="A1" s="78" t="s">
        <v>310</v>
      </c>
      <c r="B1" s="78"/>
      <c r="C1" s="78"/>
      <c r="D1" s="79"/>
      <c r="E1" s="79"/>
      <c r="F1" s="78" t="s">
        <v>310</v>
      </c>
      <c r="G1" s="78"/>
      <c r="H1" s="78"/>
      <c r="I1" s="79"/>
    </row>
    <row r="2" spans="1:9" ht="15.6" x14ac:dyDescent="0.3">
      <c r="A2" s="80" t="s">
        <v>311</v>
      </c>
      <c r="B2" s="81">
        <v>46051</v>
      </c>
      <c r="C2" s="82"/>
      <c r="D2" s="79"/>
      <c r="E2" s="79"/>
      <c r="F2" s="80" t="s">
        <v>311</v>
      </c>
      <c r="G2" s="81">
        <v>46051</v>
      </c>
      <c r="H2" s="82"/>
      <c r="I2" s="79"/>
    </row>
    <row r="3" spans="1:9" ht="15.6" x14ac:dyDescent="0.3">
      <c r="A3" s="83" t="s">
        <v>312</v>
      </c>
      <c r="B3" s="83">
        <v>5</v>
      </c>
      <c r="C3" s="83"/>
      <c r="D3" s="79"/>
      <c r="E3" s="79"/>
      <c r="F3" s="83" t="s">
        <v>312</v>
      </c>
      <c r="G3" s="83">
        <v>4</v>
      </c>
      <c r="H3" s="83"/>
      <c r="I3" s="79"/>
    </row>
    <row r="4" spans="1:9" ht="15.6" x14ac:dyDescent="0.3">
      <c r="A4" s="83" t="s">
        <v>313</v>
      </c>
      <c r="B4" s="84">
        <v>1090</v>
      </c>
      <c r="C4" s="84">
        <f>B4/B3</f>
        <v>218</v>
      </c>
      <c r="D4" s="85"/>
      <c r="E4" s="79"/>
      <c r="F4" s="83" t="s">
        <v>313</v>
      </c>
      <c r="G4" s="84">
        <v>635</v>
      </c>
      <c r="H4" s="84">
        <f>G4/G3</f>
        <v>158.75</v>
      </c>
      <c r="I4" s="79"/>
    </row>
    <row r="5" spans="1:9" ht="15.6" x14ac:dyDescent="0.3">
      <c r="A5" s="83" t="s">
        <v>314</v>
      </c>
      <c r="B5" s="86">
        <f>B16/B4</f>
        <v>7951.5318906105967</v>
      </c>
      <c r="C5" s="84"/>
      <c r="D5" s="85"/>
      <c r="E5" s="79"/>
      <c r="F5" s="83" t="s">
        <v>314</v>
      </c>
      <c r="G5" s="86">
        <f>G16/G4</f>
        <v>7883.0285156504196</v>
      </c>
      <c r="H5" s="84"/>
      <c r="I5" s="79"/>
    </row>
    <row r="6" spans="1:9" ht="15.6" x14ac:dyDescent="0.3">
      <c r="A6" s="83" t="s">
        <v>315</v>
      </c>
      <c r="B6" s="84">
        <v>1045</v>
      </c>
      <c r="C6" s="84">
        <f>B6/B3</f>
        <v>209</v>
      </c>
      <c r="D6" s="85"/>
      <c r="E6" s="79"/>
      <c r="F6" s="83" t="s">
        <v>315</v>
      </c>
      <c r="G6" s="84">
        <v>605</v>
      </c>
      <c r="H6" s="84">
        <f>G6/G3</f>
        <v>151.25</v>
      </c>
      <c r="I6" s="79"/>
    </row>
    <row r="7" spans="1:9" ht="15.6" x14ac:dyDescent="0.3">
      <c r="A7" s="83" t="s">
        <v>316</v>
      </c>
      <c r="B7" s="84">
        <f>B4-B6</f>
        <v>45</v>
      </c>
      <c r="C7" s="84"/>
      <c r="D7" s="85"/>
      <c r="E7" s="79"/>
      <c r="F7" s="83" t="s">
        <v>316</v>
      </c>
      <c r="G7" s="84">
        <f>G4-G6</f>
        <v>30</v>
      </c>
      <c r="H7" s="84"/>
      <c r="I7" s="79"/>
    </row>
    <row r="8" spans="1:9" ht="15.6" x14ac:dyDescent="0.3">
      <c r="A8" s="83" t="s">
        <v>317</v>
      </c>
      <c r="B8" s="87">
        <f>B7/B4</f>
        <v>4.1284403669724773E-2</v>
      </c>
      <c r="C8" s="84">
        <f>B7*B12</f>
        <v>415550.23923444975</v>
      </c>
      <c r="D8" s="88">
        <f>C8/C15</f>
        <v>0.4228097820414356</v>
      </c>
      <c r="E8" s="79"/>
      <c r="F8" s="83" t="s">
        <v>317</v>
      </c>
      <c r="G8" s="87">
        <f>G7/G4</f>
        <v>4.7244094488188976E-2</v>
      </c>
      <c r="H8" s="84">
        <f>G7*G12</f>
        <v>281652.89256198343</v>
      </c>
      <c r="I8" s="88">
        <f>H8/H15</f>
        <v>0.41771102594338461</v>
      </c>
    </row>
    <row r="9" spans="1:9" ht="15.6" x14ac:dyDescent="0.3">
      <c r="A9" s="83" t="s">
        <v>318</v>
      </c>
      <c r="B9" s="89"/>
      <c r="C9" s="84"/>
      <c r="D9" s="90">
        <f>C9/C15</f>
        <v>0</v>
      </c>
      <c r="E9" s="79"/>
      <c r="F9" s="83" t="s">
        <v>318</v>
      </c>
      <c r="G9" s="91"/>
      <c r="H9" s="84"/>
      <c r="I9" s="90">
        <f>H9/H15</f>
        <v>0</v>
      </c>
    </row>
    <row r="10" spans="1:9" ht="15.6" x14ac:dyDescent="0.3">
      <c r="A10" s="83" t="s">
        <v>319</v>
      </c>
      <c r="B10" s="84"/>
      <c r="C10" s="84">
        <f>55556*B3</f>
        <v>277780</v>
      </c>
      <c r="D10" s="90">
        <f>C10/C15</f>
        <v>0.2826327364696975</v>
      </c>
      <c r="E10" s="79"/>
      <c r="F10" s="83" t="s">
        <v>319</v>
      </c>
      <c r="G10" s="84"/>
      <c r="H10" s="84">
        <f>55556*G3</f>
        <v>222224</v>
      </c>
      <c r="I10" s="90">
        <f>H10/H15</f>
        <v>0.32957380336086761</v>
      </c>
    </row>
    <row r="11" spans="1:9" ht="15.6" x14ac:dyDescent="0.3">
      <c r="A11" s="83" t="s">
        <v>320</v>
      </c>
      <c r="B11" s="89">
        <v>0.03</v>
      </c>
      <c r="C11" s="84">
        <f>B13*B11</f>
        <v>289500</v>
      </c>
      <c r="D11" s="92">
        <f>C11/C15</f>
        <v>0.29455748148886685</v>
      </c>
      <c r="E11" s="79"/>
      <c r="F11" s="83" t="s">
        <v>320</v>
      </c>
      <c r="G11" s="89">
        <v>0.03</v>
      </c>
      <c r="H11" s="84">
        <f>G13*G11</f>
        <v>170400</v>
      </c>
      <c r="I11" s="92">
        <f>H11/H15</f>
        <v>0.25271517069574773</v>
      </c>
    </row>
    <row r="12" spans="1:9" ht="15.6" x14ac:dyDescent="0.3">
      <c r="A12" s="83" t="s">
        <v>321</v>
      </c>
      <c r="B12" s="86">
        <f>B13/B6</f>
        <v>9234.4497607655503</v>
      </c>
      <c r="C12" s="84"/>
      <c r="D12" s="93"/>
      <c r="E12" s="79"/>
      <c r="F12" s="83" t="s">
        <v>321</v>
      </c>
      <c r="G12" s="86">
        <f>G13/G6</f>
        <v>9388.4297520661148</v>
      </c>
      <c r="H12" s="84"/>
      <c r="I12" s="79"/>
    </row>
    <row r="13" spans="1:9" ht="15.6" x14ac:dyDescent="0.3">
      <c r="A13" s="83" t="s">
        <v>322</v>
      </c>
      <c r="B13" s="84">
        <v>9650000</v>
      </c>
      <c r="C13" s="84"/>
      <c r="D13" s="85"/>
      <c r="E13" s="79"/>
      <c r="F13" s="83" t="s">
        <v>322</v>
      </c>
      <c r="G13" s="84">
        <v>5680000</v>
      </c>
      <c r="H13" s="84"/>
      <c r="I13" s="79"/>
    </row>
    <row r="14" spans="1:9" ht="15.6" x14ac:dyDescent="0.3">
      <c r="A14" s="83" t="s">
        <v>323</v>
      </c>
      <c r="B14" s="86">
        <f>B13-C11</f>
        <v>9360500</v>
      </c>
      <c r="C14" s="84"/>
      <c r="D14" s="85"/>
      <c r="E14" s="79"/>
      <c r="F14" s="83" t="s">
        <v>323</v>
      </c>
      <c r="G14" s="86">
        <f>G13-H11</f>
        <v>5509600</v>
      </c>
      <c r="H14" s="84"/>
      <c r="I14" s="79"/>
    </row>
    <row r="15" spans="1:9" ht="15.6" x14ac:dyDescent="0.3">
      <c r="A15" s="83" t="s">
        <v>324</v>
      </c>
      <c r="B15" s="84"/>
      <c r="C15" s="84">
        <f>SUM(C8:C13)</f>
        <v>982830.23923444981</v>
      </c>
      <c r="D15" s="85"/>
      <c r="E15" s="79"/>
      <c r="F15" s="83" t="s">
        <v>324</v>
      </c>
      <c r="G15" s="84"/>
      <c r="H15" s="84">
        <f>SUM(H8:H13)</f>
        <v>674276.89256198343</v>
      </c>
      <c r="I15" s="79"/>
    </row>
    <row r="16" spans="1:9" ht="15.6" x14ac:dyDescent="0.3">
      <c r="A16" s="83" t="s">
        <v>325</v>
      </c>
      <c r="B16" s="84">
        <f>B13-C15</f>
        <v>8667169.7607655507</v>
      </c>
      <c r="C16" s="84"/>
      <c r="D16" s="85"/>
      <c r="E16" s="79"/>
      <c r="F16" s="83" t="s">
        <v>325</v>
      </c>
      <c r="G16" s="84">
        <f>G13-H15</f>
        <v>5005723.1074380167</v>
      </c>
      <c r="H16" s="84"/>
      <c r="I16" s="79"/>
    </row>
    <row r="17" spans="1:9" ht="15.6" x14ac:dyDescent="0.3">
      <c r="A17" s="83" t="s">
        <v>326</v>
      </c>
      <c r="B17" s="84">
        <f>B16/B4</f>
        <v>7951.5318906105967</v>
      </c>
      <c r="C17" s="84"/>
      <c r="D17" s="85"/>
      <c r="E17" s="79"/>
      <c r="F17" s="83" t="s">
        <v>326</v>
      </c>
      <c r="G17" s="84">
        <f>G16/G4</f>
        <v>7883.0285156504196</v>
      </c>
      <c r="H17" s="84"/>
      <c r="I17" s="79"/>
    </row>
    <row r="18" spans="1:9" ht="15.6" x14ac:dyDescent="0.3">
      <c r="A18" s="94" t="s">
        <v>327</v>
      </c>
      <c r="B18" s="95">
        <f>C15/B4</f>
        <v>901.67911856371541</v>
      </c>
      <c r="C18" s="96"/>
      <c r="D18" s="79"/>
      <c r="E18" s="79"/>
      <c r="F18" s="94" t="s">
        <v>327</v>
      </c>
      <c r="G18" s="95">
        <f>H15/G4</f>
        <v>1061.8533741133597</v>
      </c>
      <c r="H18" s="96"/>
      <c r="I18" s="79"/>
    </row>
    <row r="19" spans="1:9" ht="15.6" x14ac:dyDescent="0.3">
      <c r="A19" s="79"/>
      <c r="B19" s="79"/>
      <c r="C19" s="79"/>
      <c r="D19" s="79"/>
      <c r="E19" s="79"/>
      <c r="F19" s="79"/>
      <c r="G19" s="79"/>
      <c r="H19" s="79"/>
      <c r="I19" s="79"/>
    </row>
    <row r="20" spans="1:9" ht="15.6" x14ac:dyDescent="0.3">
      <c r="A20" s="97" t="s">
        <v>322</v>
      </c>
      <c r="B20" s="98">
        <f>B13+G13</f>
        <v>15330000</v>
      </c>
      <c r="C20" s="79"/>
      <c r="D20" s="79"/>
      <c r="E20" s="79"/>
      <c r="F20" s="79"/>
      <c r="G20" s="79"/>
      <c r="H20" s="79"/>
      <c r="I20" s="79"/>
    </row>
    <row r="21" spans="1:9" ht="15.6" x14ac:dyDescent="0.3">
      <c r="A21" s="99" t="s">
        <v>328</v>
      </c>
      <c r="B21" s="100">
        <f>C11+H11</f>
        <v>459900</v>
      </c>
      <c r="C21" s="79"/>
      <c r="D21" s="79"/>
      <c r="E21" s="79"/>
      <c r="F21" s="85"/>
      <c r="G21" s="79"/>
      <c r="H21" s="79"/>
      <c r="I21" s="79"/>
    </row>
    <row r="22" spans="1:9" ht="15.6" x14ac:dyDescent="0.3">
      <c r="A22" s="99" t="s">
        <v>329</v>
      </c>
      <c r="B22" s="100">
        <f>C8+C9+C10+H8+H9+H10</f>
        <v>1197207.1317964331</v>
      </c>
      <c r="C22" s="85"/>
      <c r="D22" s="79"/>
      <c r="E22" s="79"/>
      <c r="F22" s="85"/>
      <c r="G22" s="79"/>
      <c r="H22" s="79"/>
      <c r="I22" s="79"/>
    </row>
    <row r="23" spans="1:9" ht="15.6" x14ac:dyDescent="0.3">
      <c r="A23" s="101" t="s">
        <v>330</v>
      </c>
      <c r="B23" s="102">
        <f>B20-B21-B22</f>
        <v>13672892.868203567</v>
      </c>
      <c r="C23" s="85"/>
      <c r="D23" s="79"/>
      <c r="E23" s="79"/>
      <c r="F23" s="79"/>
      <c r="G23" s="79"/>
      <c r="H23" s="79"/>
      <c r="I23" s="79"/>
    </row>
    <row r="24" spans="1:9" ht="15.6" x14ac:dyDescent="0.3">
      <c r="A24" s="103" t="s">
        <v>331</v>
      </c>
      <c r="B24" s="102">
        <f>B23/(B4+G4)</f>
        <v>7926.3147062049666</v>
      </c>
      <c r="C24" s="85"/>
      <c r="D24" s="79"/>
      <c r="E24" s="79"/>
      <c r="F24" s="79"/>
      <c r="G24" s="79"/>
      <c r="H24" s="79"/>
      <c r="I24" s="79"/>
    </row>
    <row r="25" spans="1:9" ht="15.6" x14ac:dyDescent="0.3">
      <c r="A25" s="103" t="s">
        <v>332</v>
      </c>
      <c r="B25" s="102">
        <f>B20-B21</f>
        <v>14870100</v>
      </c>
      <c r="C25" s="79"/>
      <c r="D25" s="79"/>
      <c r="E25" s="79"/>
      <c r="F25" s="79"/>
      <c r="G25" s="79"/>
      <c r="H25" s="79"/>
      <c r="I25" s="79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ENERO</vt:lpstr>
      <vt:lpstr>NACIMIENTOS</vt:lpstr>
      <vt:lpstr>DESTETE</vt:lpstr>
      <vt:lpstr>VENTA</vt:lpstr>
      <vt:lpstr>MUERTE</vt:lpstr>
      <vt:lpstr>PESAJE</vt:lpstr>
      <vt:lpstr>PROYECCION</vt:lpstr>
      <vt:lpstr>SERVICIO</vt:lpstr>
      <vt:lpstr>ESTADO</vt:lpstr>
      <vt:lpstr>TRASLADOS</vt:lpstr>
      <vt:lpstr>SUBASTA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Aldana C.</dc:creator>
  <cp:lastModifiedBy>Juan Manuel Aldana C.</cp:lastModifiedBy>
  <cp:lastPrinted>2025-03-01T15:43:08Z</cp:lastPrinted>
  <dcterms:created xsi:type="dcterms:W3CDTF">2025-01-31T22:24:33Z</dcterms:created>
  <dcterms:modified xsi:type="dcterms:W3CDTF">2026-02-03T00:35:02Z</dcterms:modified>
</cp:coreProperties>
</file>